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eec777241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6f812677d7e4a85"/>
    <x:sheet xmlns:r="http://schemas.openxmlformats.org/officeDocument/2006/relationships" name="Ticket Summary" sheetId="2" r:id="Ra0410375818444c4"/>
    <x:sheet xmlns:r="http://schemas.openxmlformats.org/officeDocument/2006/relationships" name="Agent Performance" sheetId="3" r:id="Re289126e607241f7"/>
    <x:sheet xmlns:r="http://schemas.openxmlformats.org/officeDocument/2006/relationships" name="Category Analysis" sheetId="4" r:id="R9e334ddbda264174"/>
    <x:sheet xmlns:r="http://schemas.openxmlformats.org/officeDocument/2006/relationships" name="Raw Data" sheetId="5" r:id="Rfd0d32f965ec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2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202" fontId="4" fillId="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202" fontId="4" fillId="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5858d0e8c41ab" /><Relationship Type="http://schemas.openxmlformats.org/officeDocument/2006/relationships/theme" Target="/xl/theme/theme1.xml" Id="Rf949f8ca5b48479e" /><Relationship Type="http://schemas.openxmlformats.org/officeDocument/2006/relationships/sharedStrings" Target="/xl/sharedStrings.xml" Id="R9de50e1a05024e55" /><Relationship Type="http://schemas.openxmlformats.org/officeDocument/2006/relationships/worksheet" Target="/xl/worksheets/sheet1.xml" Id="Ra6f812677d7e4a85" /><Relationship Type="http://schemas.openxmlformats.org/officeDocument/2006/relationships/worksheet" Target="/xl/worksheets/sheet2.xml" Id="Ra0410375818444c4" /><Relationship Type="http://schemas.openxmlformats.org/officeDocument/2006/relationships/worksheet" Target="/xl/worksheets/sheet3.xml" Id="Re289126e607241f7" /><Relationship Type="http://schemas.openxmlformats.org/officeDocument/2006/relationships/worksheet" Target="/xl/worksheets/sheet4.xml" Id="R9e334ddbda264174" /><Relationship Type="http://schemas.openxmlformats.org/officeDocument/2006/relationships/worksheet" Target="/xl/worksheets/sheet5.xml" Id="Rfd0d32f965ec40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f4a314a0ef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352ca431d03430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c8858f8d23f476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0f7eaa6f8984e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Priority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 Status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Tickets</c:v>
          </c:tx>
          <c:cat>
            <c:strRef>
              <c:f>'Ticket Summary'!$A$2:$A$5</c:f>
              <c:strCache>
                <c:ptCount val="0"/>
              </c:strCache>
            </c:strRef>
          </c:cat>
          <c:val>
            <c:numRef>
              <c:f>'Ticket Summary'!$B$2:$B$5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Assigned vs Closed by Agent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Assigned</c:v>
          </c:tx>
          <c:cat>
            <c:strRef>
              <c:f>'Agent Performance'!$A$2:$A$5</c:f>
              <c:strCache>
                <c:ptCount val="0"/>
              </c:strCache>
            </c:strRef>
          </c:cat>
          <c:val>
            <c:numRef>
              <c:f>'Agent Performance'!$B$2:$B$5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Closed</c:v>
          </c:tx>
          <c:cat>
            <c:strRef>
              <c:f>'Agent Performance'!$A$2:$A$5</c:f>
              <c:strCache>
                <c:ptCount val="0"/>
              </c:strCache>
            </c:strRef>
          </c:cat>
          <c:val>
            <c:numRef>
              <c:f>'Agent Performance'!$C$2:$C$5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Category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Tickets</c:v>
          </c:tx>
          <c:cat>
            <c:strRef>
              <c:f>'Category Analysis'!$A$2:$A$6</c:f>
              <c:strCache>
                <c:ptCount val="0"/>
              </c:strCache>
            </c:strRef>
          </c:cat>
          <c:val>
            <c:numRef>
              <c:f>'Category Analysis'!$B$2:$B$6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f4a314a0ef42f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52ca431d03430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8858f8d23f476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f7eaa6f8984e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portRawDataTable" displayName="ReportRawDataTable" ref="A1:J121" headerRowCount="1" totalsRowCount="0" totalsRowShown="0">
  <x:tableColumns count="10">
    <x:tableColumn id="1" name="Ticket ID"/>
    <x:tableColumn id="2" name="Created Date"/>
    <x:tableColumn id="3" name="Category"/>
    <x:tableColumn id="4" name="Priority"/>
    <x:tableColumn id="5" name="Status"/>
    <x:tableColumn id="6" name="Assigned To"/>
    <x:tableColumn id="7" name="Closed Date"/>
    <x:tableColumn id="8" name="Resolution Hours"/>
    <x:tableColumn id="9" name="SLA Target Hours"/>
    <x:tableColumn id="10" name="SLA M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ac9a16864041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fbddde78a6542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d3389d53dcb4a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aee1151e76524e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01945d1b9b5a42c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2" t="str">
        <x:v>Weekly Support Operations Dashboard</x:v>
      </x:c>
      <x:c r="B1" s="52"/>
      <x:c r="C1" s="52"/>
      <x:c r="D1" s="52"/>
      <x:c r="E1" s="52"/>
      <x:c r="F1" s="52"/>
      <x:c r="G1" s="52"/>
      <x:c r="H1" s="52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52"/>
      <x:c r="B2" s="52"/>
      <x:c r="C2" s="52"/>
      <x:c r="D2" s="52"/>
      <x:c r="E2" s="52"/>
      <x:c r="F2" s="52"/>
      <x:c r="G2" s="52"/>
      <x:c r="H2" s="52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53" t="str">
        <x:v>Total Tickets</x:v>
      </x:c>
      <x:c r="B4" s="53" t="str"/>
      <x:c r="C4" s="53" t="str">
        <x:v>Closed Tickets</x:v>
      </x:c>
      <x:c r="D4" s="53" t="str"/>
      <x:c r="E4" s="53" t="str">
        <x:v>Avg Resolution (hrs)</x:v>
      </x:c>
      <x:c r="F4" s="53" t="str"/>
      <x:c r="G4" s="53" t="str">
        <x:v>SLA Compliance</x:v>
      </x:c>
      <x:c r="H4" s="53" t="str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54" t="n">
        <x:f>COUNTA('Raw Data'!A2:A121)</x:f>
        <x:v>120</x:v>
      </x:c>
      <x:c r="B5" s="54"/>
      <x:c r="C5" s="54" t="n">
        <x:f>COUNTIF('Raw Data'!E2:E121,"Closed")</x:f>
        <x:v>77</x:v>
      </x:c>
      <x:c r="D5" s="54"/>
      <x:c r="E5" s="55" t="n">
        <x:f>SUM('Raw Data'!H2:H121)/COUNT('Raw Data'!H2:H121)</x:f>
        <x:v>10.208311688311689</x:v>
      </x:c>
      <x:c r="F5" s="55"/>
      <x:c r="G5" s="56" t="n">
        <x:f>COUNTIF('Raw Data'!J2:J121,"Yes")/(COUNTIF('Raw Data'!J2:J121,"Yes")+COUNTIF('Raw Data'!J2:J121,"No"))</x:f>
        <x:v>0.6753246753246753</x:v>
      </x:c>
      <x:c r="H5" s="56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54"/>
      <x:c r="B6" s="54"/>
      <x:c r="C6" s="54"/>
      <x:c r="D6" s="54"/>
      <x:c r="E6" s="55"/>
      <x:c r="F6" s="55"/>
      <x:c r="G6" s="56"/>
      <x:c r="H6" s="56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57" t="str">
        <x:v>Priority</x:v>
      </x:c>
      <x:c r="B9" s="57" t="str">
        <x:v>Tickets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 t="str">
        <x:v>Low</x:v>
      </x:c>
      <x:c r="B10" s="13" t="n">
        <x:f>COUNTIF('Raw Data'!D2:D121,A10)</x:f>
        <x:v>36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 t="str">
        <x:v>Medium</x:v>
      </x:c>
      <x:c r="B11" s="13" t="n">
        <x:f>COUNTIF('Raw Data'!D2:D121,A11)</x:f>
        <x:v>51</x:v>
      </x:c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 t="str">
        <x:v>High</x:v>
      </x:c>
      <x:c r="B12" s="13" t="n">
        <x:f>COUNTIF('Raw Data'!D2:D121,A12)</x:f>
        <x:v>25</x:v>
      </x:c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 t="str">
        <x:v>Critical</x:v>
      </x:c>
      <x:c r="B13" s="13" t="n">
        <x:f>COUNTIF('Raw Data'!D2:D121,A13)</x:f>
        <x:v>8</x:v>
      </x:c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58" t="str">
        <x:v>Total</x:v>
      </x:c>
      <x:c r="B14" s="58" t="n">
        <x:f>SUM(B10:B13)</x:f>
        <x:v>120</x:v>
      </x:c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</x:sheetData>
  <x:mergeCells>
    <x:mergeCell ref="A1:H2"/>
    <x:mergeCell ref="A5:B6"/>
    <x:mergeCell ref="C5:D6"/>
    <x:mergeCell ref="E5:F6"/>
    <x:mergeCell ref="G5:H6"/>
  </x:mergeCells>
  <x:pageMargins left="0.7" right="0.7" top="0.75" bottom="0.75" header="0.3" footer="0.3"/>
  <x:drawing xmlns:r="http://schemas.openxmlformats.org/officeDocument/2006/relationships" r:id="R10ac9a168640418f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</x:cols>
  <x:sheetData>
    <x:row r="1">
      <x:c r="A1" s="57" t="str">
        <x:v>Status</x:v>
      </x:c>
      <x:c r="B1" s="57" t="str">
        <x:v>Tickets</x:v>
      </x:c>
      <x:c r="C1" s="57" t="str">
        <x:v>Share</x:v>
      </x:c>
      <x:c r="D1" s="57" t="str">
        <x:v>Notes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Closed</x:v>
      </x:c>
      <x:c r="B2" s="13" t="n">
        <x:f>COUNTIF('Raw Data'!E2:E121,A2)</x:f>
        <x:v>77</x:v>
      </x:c>
      <x:c r="C2" s="66" t="n">
        <x:f>B2/SUM($B$2:$B$5)</x:f>
        <x:v>0.6416666666666667</x:v>
      </x:c>
      <x:c r="D2" s="13" t="str">
        <x:v>Resolved and completed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Open</x:v>
      </x:c>
      <x:c r="B3" s="13" t="n">
        <x:f>COUNTIF('Raw Data'!E2:E121,A3)</x:f>
        <x:v>20</x:v>
      </x:c>
      <x:c r="C3" s="66" t="n">
        <x:f>B3/SUM($B$2:$B$5)</x:f>
        <x:v>0.16666666666666666</x:v>
      </x:c>
      <x:c r="D3" s="13" t="str">
        <x:v>New or awaiting work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In Progress</x:v>
      </x:c>
      <x:c r="B4" s="13" t="n">
        <x:f>COUNTIF('Raw Data'!E2:E121,A4)</x:f>
        <x:v>17</x:v>
      </x:c>
      <x:c r="C4" s="66" t="n">
        <x:f>B4/SUM($B$2:$B$5)</x:f>
        <x:v>0.14166666666666666</x:v>
      </x:c>
      <x:c r="D4" s="13" t="str">
        <x:v>Currently being worked</x:v>
      </x:c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Pending</x:v>
      </x:c>
      <x:c r="B5" s="13" t="n">
        <x:f>COUNTIF('Raw Data'!E2:E121,A5)</x:f>
        <x:v>6</x:v>
      </x:c>
      <x:c r="C5" s="66" t="n">
        <x:f>B5/SUM($B$2:$B$5)</x:f>
        <x:v>0.05</x:v>
      </x:c>
      <x:c r="D5" s="13" t="str">
        <x:v>Waiting on customer/vendor</x:v>
      </x:c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</x:sheetData>
  <x:pageMargins left="0.7" right="0.7" top="0.75" bottom="0.75" header="0.3" footer="0.3"/>
  <x:drawing xmlns:r="http://schemas.openxmlformats.org/officeDocument/2006/relationships" r:id="Rffbddde78a654210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7" t="str">
        <x:v>Agent</x:v>
      </x:c>
      <x:c r="B1" s="57" t="str">
        <x:v>Assigned</x:v>
      </x:c>
      <x:c r="C1" s="57" t="str">
        <x:v>Closed</x:v>
      </x:c>
      <x:c r="D1" s="57" t="str">
        <x:v>Avg Resolution (hrs)</x:v>
      </x:c>
      <x:c r="E1" s="57" t="str">
        <x:v>SLA Compliance</x:v>
      </x:c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Alex Morgan</x:v>
      </x:c>
      <x:c r="B2" s="13" t="n">
        <x:f>COUNTIF('Raw Data'!F2:F121,A2)</x:f>
        <x:v>27</x:v>
      </x:c>
      <x:c r="C2" s="13" t="n">
        <x:f>COUNTIFS('Raw Data'!F2:F121,A2,'Raw Data'!E2:E121,"Closed")</x:f>
        <x:v>16</x:v>
      </x:c>
      <x:c r="D2" s="15" t="n">
        <x:f>IF(C2=0,0,SUMIFS('Raw Data'!H2:H121,'Raw Data'!F2:F121,A2,'Raw Data'!E2:E121,"Closed")/C2)</x:f>
        <x:v>9.9125</x:v>
      </x:c>
      <x:c r="E2" s="66" t="n">
        <x:f>IF((COUNTIFS('Raw Data'!F2:F121,A2,'Raw Data'!J2:J121,"Yes")+COUNTIFS('Raw Data'!F2:F121,A2,'Raw Data'!J2:J121,"No"))=0,0,COUNTIFS('Raw Data'!F2:F121,A2,'Raw Data'!J2:J121,"Yes")/(COUNTIFS('Raw Data'!F2:F121,A2,'Raw Data'!J2:J121,"Yes")+COUNTIFS('Raw Data'!F2:F121,A2,'Raw Data'!J2:J121,"No")))</x:f>
        <x:v>0.625</x:v>
      </x:c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Sam Lee</x:v>
      </x:c>
      <x:c r="B3" s="13" t="n">
        <x:f>COUNTIF('Raw Data'!F2:F121,A3)</x:f>
        <x:v>31</x:v>
      </x:c>
      <x:c r="C3" s="13" t="n">
        <x:f>COUNTIFS('Raw Data'!F2:F121,A3,'Raw Data'!E2:E121,"Closed")</x:f>
        <x:v>19</x:v>
      </x:c>
      <x:c r="D3" s="15" t="n">
        <x:f>IF(C3=0,0,SUMIFS('Raw Data'!H2:H121,'Raw Data'!F2:F121,A3,'Raw Data'!E2:E121,"Closed")/C3)</x:f>
        <x:v>11.054736842105264</x:v>
      </x:c>
      <x:c r="E3" s="66" t="n">
        <x:f>IF((COUNTIFS('Raw Data'!F2:F121,A3,'Raw Data'!J2:J121,"Yes")+COUNTIFS('Raw Data'!F2:F121,A3,'Raw Data'!J2:J121,"No"))=0,0,COUNTIFS('Raw Data'!F2:F121,A3,'Raw Data'!J2:J121,"Yes")/(COUNTIFS('Raw Data'!F2:F121,A3,'Raw Data'!J2:J121,"Yes")+COUNTIFS('Raw Data'!F2:F121,A3,'Raw Data'!J2:J121,"No")))</x:f>
        <x:v>0.7894736842105263</x:v>
      </x:c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Nadia Karim</x:v>
      </x:c>
      <x:c r="B4" s="13" t="n">
        <x:f>COUNTIF('Raw Data'!F2:F121,A4)</x:f>
        <x:v>30</x:v>
      </x:c>
      <x:c r="C4" s="13" t="n">
        <x:f>COUNTIFS('Raw Data'!F2:F121,A4,'Raw Data'!E2:E121,"Closed")</x:f>
        <x:v>15</x:v>
      </x:c>
      <x:c r="D4" s="15" t="n">
        <x:f>IF(C4=0,0,SUMIFS('Raw Data'!H2:H121,'Raw Data'!F2:F121,A4,'Raw Data'!E2:E121,"Closed")/C4)</x:f>
        <x:v>10.177999999999999</x:v>
      </x:c>
      <x:c r="E4" s="66" t="n">
        <x:f>IF((COUNTIFS('Raw Data'!F2:F121,A4,'Raw Data'!J2:J121,"Yes")+COUNTIFS('Raw Data'!F2:F121,A4,'Raw Data'!J2:J121,"No"))=0,0,COUNTIFS('Raw Data'!F2:F121,A4,'Raw Data'!J2:J121,"Yes")/(COUNTIFS('Raw Data'!F2:F121,A4,'Raw Data'!J2:J121,"Yes")+COUNTIFS('Raw Data'!F2:F121,A4,'Raw Data'!J2:J121,"No")))</x:f>
        <x:v>0.8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Omar Hassan</x:v>
      </x:c>
      <x:c r="B5" s="13" t="n">
        <x:f>COUNTIF('Raw Data'!F2:F121,A5)</x:f>
        <x:v>32</x:v>
      </x:c>
      <x:c r="C5" s="13" t="n">
        <x:f>COUNTIFS('Raw Data'!F2:F121,A5,'Raw Data'!E2:E121,"Closed")</x:f>
        <x:v>27</x:v>
      </x:c>
      <x:c r="D5" s="15" t="n">
        <x:f>IF(C5=0,0,SUMIFS('Raw Data'!H2:H121,'Raw Data'!F2:F121,A5,'Raw Data'!E2:E121,"Closed")/C5)</x:f>
        <x:v>9.804814814814813</x:v>
      </x:c>
      <x:c r="E5" s="66" t="n">
        <x:f>IF((COUNTIFS('Raw Data'!F2:F121,A5,'Raw Data'!J2:J121,"Yes")+COUNTIFS('Raw Data'!F2:F121,A5,'Raw Data'!J2:J121,"No"))=0,0,COUNTIFS('Raw Data'!F2:F121,A5,'Raw Data'!J2:J121,"Yes")/(COUNTIFS('Raw Data'!F2:F121,A5,'Raw Data'!J2:J121,"Yes")+COUNTIFS('Raw Data'!F2:F121,A5,'Raw Data'!J2:J121,"No")))</x:f>
        <x:v>0.5555555555555556</x:v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</x:sheetData>
  <x:pageMargins left="0.7" right="0.7" top="0.75" bottom="0.75" header="0.3" footer="0.3"/>
  <x:drawing xmlns:r="http://schemas.openxmlformats.org/officeDocument/2006/relationships" r:id="Rdd3389d53dcb4acf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7" t="str">
        <x:v>Category</x:v>
      </x:c>
      <x:c r="B1" s="57" t="str">
        <x:v>Tickets</x:v>
      </x:c>
      <x:c r="C1" s="57" t="str">
        <x:v>Closed</x:v>
      </x:c>
      <x:c r="D1" s="57" t="str">
        <x:v>SLA Compliance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Software</x:v>
      </x:c>
      <x:c r="B2" s="13" t="n">
        <x:f>COUNTIF('Raw Data'!C2:C121,A2)</x:f>
        <x:v>36</x:v>
      </x:c>
      <x:c r="C2" s="13" t="n">
        <x:f>COUNTIFS('Raw Data'!C2:C121,A2,'Raw Data'!E2:E121,"Closed")</x:f>
        <x:v>22</x:v>
      </x:c>
      <x:c r="D2" s="66" t="n">
        <x:f>IF((COUNTIFS('Raw Data'!C2:C121,A2,'Raw Data'!J2:J121,"Yes")+COUNTIFS('Raw Data'!C2:C121,A2,'Raw Data'!J2:J121,"No"))=0,0,COUNTIFS('Raw Data'!C2:C121,A2,'Raw Data'!J2:J121,"Yes")/(COUNTIFS('Raw Data'!C2:C121,A2,'Raw Data'!J2:J121,"Yes")+COUNTIFS('Raw Data'!C2:C121,A2,'Raw Data'!J2:J121,"No")))</x:f>
        <x:v>0.8181818181818182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Network</x:v>
      </x:c>
      <x:c r="B3" s="13" t="n">
        <x:f>COUNTIF('Raw Data'!C2:C121,A3)</x:f>
        <x:v>24</x:v>
      </x:c>
      <x:c r="C3" s="13" t="n">
        <x:f>COUNTIFS('Raw Data'!C2:C121,A3,'Raw Data'!E2:E121,"Closed")</x:f>
        <x:v>20</x:v>
      </x:c>
      <x:c r="D3" s="66" t="n">
        <x:f>IF((COUNTIFS('Raw Data'!C2:C121,A3,'Raw Data'!J2:J121,"Yes")+COUNTIFS('Raw Data'!C2:C121,A3,'Raw Data'!J2:J121,"No"))=0,0,COUNTIFS('Raw Data'!C2:C121,A3,'Raw Data'!J2:J121,"Yes")/(COUNTIFS('Raw Data'!C2:C121,A3,'Raw Data'!J2:J121,"Yes")+COUNTIFS('Raw Data'!C2:C121,A3,'Raw Data'!J2:J121,"No")))</x:f>
        <x:v>0.6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Hardware</x:v>
      </x:c>
      <x:c r="B4" s="13" t="n">
        <x:f>COUNTIF('Raw Data'!C2:C121,A4)</x:f>
        <x:v>29</x:v>
      </x:c>
      <x:c r="C4" s="13" t="n">
        <x:f>COUNTIFS('Raw Data'!C2:C121,A4,'Raw Data'!E2:E121,"Closed")</x:f>
        <x:v>20</x:v>
      </x:c>
      <x:c r="D4" s="66" t="n">
        <x:f>IF((COUNTIFS('Raw Data'!C2:C121,A4,'Raw Data'!J2:J121,"Yes")+COUNTIFS('Raw Data'!C2:C121,A4,'Raw Data'!J2:J121,"No"))=0,0,COUNTIFS('Raw Data'!C2:C121,A4,'Raw Data'!J2:J121,"Yes")/(COUNTIFS('Raw Data'!C2:C121,A4,'Raw Data'!J2:J121,"Yes")+COUNTIFS('Raw Data'!C2:C121,A4,'Raw Data'!J2:J121,"No")))</x:f>
        <x:v>0.7</x:v>
      </x:c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Access</x:v>
      </x:c>
      <x:c r="B5" s="13" t="n">
        <x:f>COUNTIF('Raw Data'!C2:C121,A5)</x:f>
        <x:v>15</x:v>
      </x:c>
      <x:c r="C5" s="13" t="n">
        <x:f>COUNTIFS('Raw Data'!C2:C121,A5,'Raw Data'!E2:E121,"Closed")</x:f>
        <x:v>9</x:v>
      </x:c>
      <x:c r="D5" s="66" t="n">
        <x:f>IF((COUNTIFS('Raw Data'!C2:C121,A5,'Raw Data'!J2:J121,"Yes")+COUNTIFS('Raw Data'!C2:C121,A5,'Raw Data'!J2:J121,"No"))=0,0,COUNTIFS('Raw Data'!C2:C121,A5,'Raw Data'!J2:J121,"Yes")/(COUNTIFS('Raw Data'!C2:C121,A5,'Raw Data'!J2:J121,"Yes")+COUNTIFS('Raw Data'!C2:C121,A5,'Raw Data'!J2:J121,"No")))</x:f>
        <x:v>0.6666666666666666</x:v>
      </x:c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 t="str">
        <x:v>Email</x:v>
      </x:c>
      <x:c r="B6" s="13" t="n">
        <x:f>COUNTIF('Raw Data'!C2:C121,A6)</x:f>
        <x:v>16</x:v>
      </x:c>
      <x:c r="C6" s="13" t="n">
        <x:f>COUNTIFS('Raw Data'!C2:C121,A6,'Raw Data'!E2:E121,"Closed")</x:f>
        <x:v>6</x:v>
      </x:c>
      <x:c r="D6" s="66" t="n">
        <x:f>IF((COUNTIFS('Raw Data'!C2:C121,A6,'Raw Data'!J2:J121,"Yes")+COUNTIFS('Raw Data'!C2:C121,A6,'Raw Data'!J2:J121,"No"))=0,0,COUNTIFS('Raw Data'!C2:C121,A6,'Raw Data'!J2:J121,"Yes")/(COUNTIFS('Raw Data'!C2:C121,A6,'Raw Data'!J2:J121,"Yes")+COUNTIFS('Raw Data'!C2:C121,A6,'Raw Data'!J2:J121,"No")))</x:f>
        <x:v>0.3333333333333333</x:v>
      </x:c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</x:sheetData>
  <x:pageMargins left="0.7" right="0.7" top="0.75" bottom="0.75" header="0.3" footer="0.3"/>
  <x:drawing xmlns:r="http://schemas.openxmlformats.org/officeDocument/2006/relationships" r:id="Raee1151e76524e65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</x:cols>
  <x:sheetData>
    <x:row r="1">
      <x:c r="A1" s="12" t="str">
        <x:v>Ticket ID</x:v>
      </x:c>
      <x:c r="B1" s="12" t="str">
        <x:v>Created Date</x:v>
      </x:c>
      <x:c r="C1" s="12" t="str">
        <x:v>Category</x:v>
      </x:c>
      <x:c r="D1" s="12" t="str">
        <x:v>Priority</x:v>
      </x:c>
      <x:c r="E1" s="12" t="str">
        <x:v>Status</x:v>
      </x:c>
      <x:c r="F1" s="12" t="str">
        <x:v>Assigned To</x:v>
      </x:c>
      <x:c r="G1" s="12" t="str">
        <x:v>Closed Date</x:v>
      </x:c>
      <x:c r="H1" s="12" t="str">
        <x:v>Resolution Hours</x:v>
      </x:c>
      <x:c r="I1" s="12" t="str">
        <x:v>SLA Target Hours</x:v>
      </x:c>
      <x:c r="J1" s="12" t="str">
        <x:v>SLA Met</x:v>
      </x:c>
    </x:row>
    <x:row r="2">
      <x:c r="A2" s="13" t="str">
        <x:v>T0001</x:v>
      </x:c>
      <x:c r="B2" s="14" t="n">
        <x:v>46286.375</x:v>
      </x:c>
      <x:c r="C2" s="13" t="str">
        <x:v>Access</x:v>
      </x:c>
      <x:c r="D2" s="13" t="str">
        <x:v>Medium</x:v>
      </x:c>
      <x:c r="E2" s="13" t="str">
        <x:v>Closed</x:v>
      </x:c>
      <x:c r="F2" s="13" t="str">
        <x:v>Alex Morgan</x:v>
      </x:c>
      <x:c r="G2" s="14" t="n">
        <x:v>46286.97875</x:v>
      </x:c>
      <x:c r="H2" s="15" t="n">
        <x:v>14.49</x:v>
      </x:c>
      <x:c r="I2" s="15" t="n">
        <x:v>12</x:v>
      </x:c>
      <x:c r="J2" s="13" t="str">
        <x:v>No</x:v>
      </x:c>
    </x:row>
    <x:row r="3">
      <x:c r="A3" s="13" t="str">
        <x:v>T0002</x:v>
      </x:c>
      <x:c r="B3" s="14" t="n">
        <x:v>46266.385416666664</x:v>
      </x:c>
      <x:c r="C3" s="13" t="str">
        <x:v>Software</x:v>
      </x:c>
      <x:c r="D3" s="13" t="str">
        <x:v>Medium</x:v>
      </x:c>
      <x:c r="E3" s="13" t="str">
        <x:v>Closed</x:v>
      </x:c>
      <x:c r="F3" s="13" t="str">
        <x:v>Omar Hassan</x:v>
      </x:c>
      <x:c r="G3" s="14" t="n">
        <x:v>46266.8125</x:v>
      </x:c>
      <x:c r="H3" s="15" t="n">
        <x:v>10.25</x:v>
      </x:c>
      <x:c r="I3" s="15" t="n">
        <x:v>12</x:v>
      </x:c>
      <x:c r="J3" s="13" t="str">
        <x:v>Yes</x:v>
      </x:c>
    </x:row>
    <x:row r="4">
      <x:c r="A4" s="13" t="str">
        <x:v>T0003</x:v>
      </x:c>
      <x:c r="B4" s="14" t="n">
        <x:v>46291.447916666664</x:v>
      </x:c>
      <x:c r="C4" s="13" t="str">
        <x:v>Network</x:v>
      </x:c>
      <x:c r="D4" s="13" t="str">
        <x:v>Low</x:v>
      </x:c>
      <x:c r="E4" s="13" t="str">
        <x:v>Pending</x:v>
      </x:c>
      <x:c r="F4" s="13" t="str">
        <x:v>Nadia Karim</x:v>
      </x:c>
      <x:c r="G4" s="14"/>
      <x:c r="H4" s="15"/>
      <x:c r="I4" s="15" t="n">
        <x:v>24</x:v>
      </x:c>
      <x:c r="J4" s="13" t="str">
        <x:v>Pending</x:v>
      </x:c>
    </x:row>
    <x:row r="5">
      <x:c r="A5" s="13" t="str">
        <x:v>T0004</x:v>
      </x:c>
      <x:c r="B5" s="14" t="n">
        <x:v>46269.40625</x:v>
      </x:c>
      <x:c r="C5" s="13" t="str">
        <x:v>Software</x:v>
      </x:c>
      <x:c r="D5" s="13" t="str">
        <x:v>High</x:v>
      </x:c>
      <x:c r="E5" s="13" t="str">
        <x:v>Closed</x:v>
      </x:c>
      <x:c r="F5" s="13" t="str">
        <x:v>Alex Morgan</x:v>
      </x:c>
      <x:c r="G5" s="14" t="n">
        <x:v>46269.77208333334</x:v>
      </x:c>
      <x:c r="H5" s="15" t="n">
        <x:v>8.78</x:v>
      </x:c>
      <x:c r="I5" s="15" t="n">
        <x:v>6</x:v>
      </x:c>
      <x:c r="J5" s="13" t="str">
        <x:v>No</x:v>
      </x:c>
    </x:row>
    <x:row r="6">
      <x:c r="A6" s="13" t="str">
        <x:v>T0005</x:v>
      </x:c>
      <x:c r="B6" s="14" t="n">
        <x:v>46283.520833333336</x:v>
      </x:c>
      <x:c r="C6" s="13" t="str">
        <x:v>Hardware</x:v>
      </x:c>
      <x:c r="D6" s="13" t="str">
        <x:v>High</x:v>
      </x:c>
      <x:c r="E6" s="13" t="str">
        <x:v>Closed</x:v>
      </x:c>
      <x:c r="F6" s="13" t="str">
        <x:v>Sam Lee</x:v>
      </x:c>
      <x:c r="G6" s="14" t="n">
        <x:v>46283.8475</x:v>
      </x:c>
      <x:c r="H6" s="15" t="n">
        <x:v>7.84</x:v>
      </x:c>
      <x:c r="I6" s="15" t="n">
        <x:v>6</x:v>
      </x:c>
      <x:c r="J6" s="13" t="str">
        <x:v>No</x:v>
      </x:c>
    </x:row>
    <x:row r="7">
      <x:c r="A7" s="13" t="str">
        <x:v>T0006</x:v>
      </x:c>
      <x:c r="B7" s="14" t="n">
        <x:v>46278.53125</x:v>
      </x:c>
      <x:c r="C7" s="13" t="str">
        <x:v>Hardware</x:v>
      </x:c>
      <x:c r="D7" s="13" t="str">
        <x:v>Medium</x:v>
      </x:c>
      <x:c r="E7" s="13" t="str">
        <x:v>Closed</x:v>
      </x:c>
      <x:c r="F7" s="13" t="str">
        <x:v>Sam Lee</x:v>
      </x:c>
      <x:c r="G7" s="14" t="n">
        <x:v>46279.02416666667</x:v>
      </x:c>
      <x:c r="H7" s="15" t="n">
        <x:v>11.83</x:v>
      </x:c>
      <x:c r="I7" s="15" t="n">
        <x:v>12</x:v>
      </x:c>
      <x:c r="J7" s="13" t="str">
        <x:v>Yes</x:v>
      </x:c>
    </x:row>
    <x:row r="8">
      <x:c r="A8" s="13" t="str">
        <x:v>T0007</x:v>
      </x:c>
      <x:c r="B8" s="14" t="n">
        <x:v>46286.427083333336</x:v>
      </x:c>
      <x:c r="C8" s="13" t="str">
        <x:v>Software</x:v>
      </x:c>
      <x:c r="D8" s="13" t="str">
        <x:v>Medium</x:v>
      </x:c>
      <x:c r="E8" s="13" t="str">
        <x:v>Pending</x:v>
      </x:c>
      <x:c r="F8" s="13" t="str">
        <x:v>Sam Lee</x:v>
      </x:c>
      <x:c r="G8" s="14"/>
      <x:c r="H8" s="15"/>
      <x:c r="I8" s="15" t="n">
        <x:v>12</x:v>
      </x:c>
      <x:c r="J8" s="13" t="str">
        <x:v>Pending</x:v>
      </x:c>
    </x:row>
    <x:row r="9">
      <x:c r="A9" s="13" t="str">
        <x:v>T0008</x:v>
      </x:c>
      <x:c r="B9" s="14" t="n">
        <x:v>46287.541666666664</x:v>
      </x:c>
      <x:c r="C9" s="13" t="str">
        <x:v>Software</x:v>
      </x:c>
      <x:c r="D9" s="13" t="str">
        <x:v>Low</x:v>
      </x:c>
      <x:c r="E9" s="13" t="str">
        <x:v>Closed</x:v>
      </x:c>
      <x:c r="F9" s="13" t="str">
        <x:v>Nadia Karim</x:v>
      </x:c>
      <x:c r="G9" s="14" t="n">
        <x:v>46287.73541666667</x:v>
      </x:c>
      <x:c r="H9" s="15" t="n">
        <x:v>4.65</x:v>
      </x:c>
      <x:c r="I9" s="15" t="n">
        <x:v>24</x:v>
      </x:c>
      <x:c r="J9" s="13" t="str">
        <x:v>Yes</x:v>
      </x:c>
    </x:row>
    <x:row r="10">
      <x:c r="A10" s="13" t="str">
        <x:v>T0009</x:v>
      </x:c>
      <x:c r="B10" s="14" t="n">
        <x:v>46272.78125</x:v>
      </x:c>
      <x:c r="C10" s="13" t="str">
        <x:v>Network</x:v>
      </x:c>
      <x:c r="D10" s="13" t="str">
        <x:v>Critical</x:v>
      </x:c>
      <x:c r="E10" s="13" t="str">
        <x:v>Closed</x:v>
      </x:c>
      <x:c r="F10" s="13" t="str">
        <x:v>Nadia Karim</x:v>
      </x:c>
      <x:c r="G10" s="14" t="n">
        <x:v>46272.91</x:v>
      </x:c>
      <x:c r="H10" s="15" t="n">
        <x:v>3.09</x:v>
      </x:c>
      <x:c r="I10" s="15" t="n">
        <x:v>2</x:v>
      </x:c>
      <x:c r="J10" s="13" t="str">
        <x:v>No</x:v>
      </x:c>
    </x:row>
    <x:row r="11">
      <x:c r="A11" s="13" t="str">
        <x:v>T0010</x:v>
      </x:c>
      <x:c r="B11" s="14" t="n">
        <x:v>46279.739583333336</x:v>
      </x:c>
      <x:c r="C11" s="13" t="str">
        <x:v>Network</x:v>
      </x:c>
      <x:c r="D11" s="13" t="str">
        <x:v>Critical</x:v>
      </x:c>
      <x:c r="E11" s="13" t="str">
        <x:v>Closed</x:v>
      </x:c>
      <x:c r="F11" s="13" t="str">
        <x:v>Omar Hassan</x:v>
      </x:c>
      <x:c r="G11" s="14" t="n">
        <x:v>46279.85041666667</x:v>
      </x:c>
      <x:c r="H11" s="15" t="n">
        <x:v>2.66</x:v>
      </x:c>
      <x:c r="I11" s="15" t="n">
        <x:v>2</x:v>
      </x:c>
      <x:c r="J11" s="13" t="str">
        <x:v>No</x:v>
      </x:c>
    </x:row>
    <x:row r="12">
      <x:c r="A12" s="13" t="str">
        <x:v>T0011</x:v>
      </x:c>
      <x:c r="B12" s="14" t="n">
        <x:v>46291.78125</x:v>
      </x:c>
      <x:c r="C12" s="13" t="str">
        <x:v>Hardware</x:v>
      </x:c>
      <x:c r="D12" s="13" t="str">
        <x:v>Medium</x:v>
      </x:c>
      <x:c r="E12" s="13" t="str">
        <x:v>Closed</x:v>
      </x:c>
      <x:c r="F12" s="13" t="str">
        <x:v>Omar Hassan</x:v>
      </x:c>
      <x:c r="G12" s="14" t="n">
        <x:v>46292.43125</x:v>
      </x:c>
      <x:c r="H12" s="15" t="n">
        <x:v>15.6</x:v>
      </x:c>
      <x:c r="I12" s="15" t="n">
        <x:v>12</x:v>
      </x:c>
      <x:c r="J12" s="13" t="str">
        <x:v>No</x:v>
      </x:c>
    </x:row>
    <x:row r="13">
      <x:c r="A13" s="13" t="str">
        <x:v>T0012</x:v>
      </x:c>
      <x:c r="B13" s="14" t="n">
        <x:v>46289.395833333336</x:v>
      </x:c>
      <x:c r="C13" s="13" t="str">
        <x:v>Access</x:v>
      </x:c>
      <x:c r="D13" s="13" t="str">
        <x:v>Medium</x:v>
      </x:c>
      <x:c r="E13" s="13" t="str">
        <x:v>Closed</x:v>
      </x:c>
      <x:c r="F13" s="13" t="str">
        <x:v>Sam Lee</x:v>
      </x:c>
      <x:c r="G13" s="14" t="n">
        <x:v>46290.035416666666</x:v>
      </x:c>
      <x:c r="H13" s="15" t="n">
        <x:v>15.35</x:v>
      </x:c>
      <x:c r="I13" s="15" t="n">
        <x:v>12</x:v>
      </x:c>
      <x:c r="J13" s="13" t="str">
        <x:v>No</x:v>
      </x:c>
    </x:row>
    <x:row r="14">
      <x:c r="A14" s="13" t="str">
        <x:v>T0013</x:v>
      </x:c>
      <x:c r="B14" s="14" t="n">
        <x:v>46282.416666666664</x:v>
      </x:c>
      <x:c r="C14" s="13" t="str">
        <x:v>Email</x:v>
      </x:c>
      <x:c r="D14" s="13" t="str">
        <x:v>Medium</x:v>
      </x:c>
      <x:c r="E14" s="13" t="str">
        <x:v>Closed</x:v>
      </x:c>
      <x:c r="F14" s="13" t="str">
        <x:v>Sam Lee</x:v>
      </x:c>
      <x:c r="G14" s="14" t="n">
        <x:v>46282.945</x:v>
      </x:c>
      <x:c r="H14" s="15" t="n">
        <x:v>12.68</x:v>
      </x:c>
      <x:c r="I14" s="15" t="n">
        <x:v>12</x:v>
      </x:c>
      <x:c r="J14" s="13" t="str">
        <x:v>No</x:v>
      </x:c>
    </x:row>
    <x:row r="15">
      <x:c r="A15" s="13" t="str">
        <x:v>T0014</x:v>
      </x:c>
      <x:c r="B15" s="14" t="n">
        <x:v>46282.354166666664</x:v>
      </x:c>
      <x:c r="C15" s="13" t="str">
        <x:v>Network</x:v>
      </x:c>
      <x:c r="D15" s="13" t="str">
        <x:v>Low</x:v>
      </x:c>
      <x:c r="E15" s="13" t="str">
        <x:v>Closed</x:v>
      </x:c>
      <x:c r="F15" s="13" t="str">
        <x:v>Nadia Karim</x:v>
      </x:c>
      <x:c r="G15" s="14" t="n">
        <x:v>46282.72875</x:v>
      </x:c>
      <x:c r="H15" s="15" t="n">
        <x:v>8.99</x:v>
      </x:c>
      <x:c r="I15" s="15" t="n">
        <x:v>24</x:v>
      </x:c>
      <x:c r="J15" s="13" t="str">
        <x:v>Yes</x:v>
      </x:c>
    </x:row>
    <x:row r="16">
      <x:c r="A16" s="13" t="str">
        <x:v>T0015</x:v>
      </x:c>
      <x:c r="B16" s="14" t="n">
        <x:v>46289.625</x:v>
      </x:c>
      <x:c r="C16" s="13" t="str">
        <x:v>Email</x:v>
      </x:c>
      <x:c r="D16" s="13" t="str">
        <x:v>Medium</x:v>
      </x:c>
      <x:c r="E16" s="13" t="str">
        <x:v>Closed</x:v>
      </x:c>
      <x:c r="F16" s="13" t="str">
        <x:v>Omar Hassan</x:v>
      </x:c>
      <x:c r="G16" s="14" t="n">
        <x:v>46289.80458333333</x:v>
      </x:c>
      <x:c r="H16" s="15" t="n">
        <x:v>4.31</x:v>
      </x:c>
      <x:c r="I16" s="15" t="n">
        <x:v>12</x:v>
      </x:c>
      <x:c r="J16" s="13" t="str">
        <x:v>Yes</x:v>
      </x:c>
    </x:row>
    <x:row r="17">
      <x:c r="A17" s="13" t="str">
        <x:v>T0016</x:v>
      </x:c>
      <x:c r="B17" s="14" t="n">
        <x:v>46272.677083333336</x:v>
      </x:c>
      <x:c r="C17" s="13" t="str">
        <x:v>Access</x:v>
      </x:c>
      <x:c r="D17" s="13" t="str">
        <x:v>Medium</x:v>
      </x:c>
      <x:c r="E17" s="13" t="str">
        <x:v>Open</x:v>
      </x:c>
      <x:c r="F17" s="13" t="str">
        <x:v>Nadia Karim</x:v>
      </x:c>
      <x:c r="G17" s="14"/>
      <x:c r="H17" s="15"/>
      <x:c r="I17" s="15" t="n">
        <x:v>12</x:v>
      </x:c>
      <x:c r="J17" s="13" t="str">
        <x:v>Pending</x:v>
      </x:c>
    </x:row>
    <x:row r="18">
      <x:c r="A18" s="13" t="str">
        <x:v>T0017</x:v>
      </x:c>
      <x:c r="B18" s="14" t="n">
        <x:v>46280.697916666664</x:v>
      </x:c>
      <x:c r="C18" s="13" t="str">
        <x:v>Software</x:v>
      </x:c>
      <x:c r="D18" s="13" t="str">
        <x:v>Low</x:v>
      </x:c>
      <x:c r="E18" s="13" t="str">
        <x:v>Closed</x:v>
      </x:c>
      <x:c r="F18" s="13" t="str">
        <x:v>Sam Lee</x:v>
      </x:c>
      <x:c r="G18" s="14" t="n">
        <x:v>46281.43583333334</x:v>
      </x:c>
      <x:c r="H18" s="15" t="n">
        <x:v>17.71</x:v>
      </x:c>
      <x:c r="I18" s="15" t="n">
        <x:v>24</x:v>
      </x:c>
      <x:c r="J18" s="13" t="str">
        <x:v>Yes</x:v>
      </x:c>
    </x:row>
    <x:row r="19">
      <x:c r="A19" s="13" t="str">
        <x:v>T0018</x:v>
      </x:c>
      <x:c r="B19" s="14" t="n">
        <x:v>46268.354166666664</x:v>
      </x:c>
      <x:c r="C19" s="13" t="str">
        <x:v>Software</x:v>
      </x:c>
      <x:c r="D19" s="13" t="str">
        <x:v>Low</x:v>
      </x:c>
      <x:c r="E19" s="13" t="str">
        <x:v>Open</x:v>
      </x:c>
      <x:c r="F19" s="13" t="str">
        <x:v>Sam Lee</x:v>
      </x:c>
      <x:c r="G19" s="14"/>
      <x:c r="H19" s="15"/>
      <x:c r="I19" s="15" t="n">
        <x:v>24</x:v>
      </x:c>
      <x:c r="J19" s="13" t="str">
        <x:v>Pending</x:v>
      </x:c>
    </x:row>
    <x:row r="20">
      <x:c r="A20" s="13" t="str">
        <x:v>T0019</x:v>
      </x:c>
      <x:c r="B20" s="14" t="n">
        <x:v>46283.447916666664</x:v>
      </x:c>
      <x:c r="C20" s="13" t="str">
        <x:v>Software</x:v>
      </x:c>
      <x:c r="D20" s="13" t="str">
        <x:v>Medium</x:v>
      </x:c>
      <x:c r="E20" s="13" t="str">
        <x:v>Closed</x:v>
      </x:c>
      <x:c r="F20" s="13" t="str">
        <x:v>Alex Morgan</x:v>
      </x:c>
      <x:c r="G20" s="14" t="n">
        <x:v>46283.7825</x:v>
      </x:c>
      <x:c r="H20" s="15" t="n">
        <x:v>8.03</x:v>
      </x:c>
      <x:c r="I20" s="15" t="n">
        <x:v>12</x:v>
      </x:c>
      <x:c r="J20" s="13" t="str">
        <x:v>Yes</x:v>
      </x:c>
    </x:row>
    <x:row r="21">
      <x:c r="A21" s="13" t="str">
        <x:v>T0020</x:v>
      </x:c>
      <x:c r="B21" s="14" t="n">
        <x:v>46289.333333333336</x:v>
      </x:c>
      <x:c r="C21" s="13" t="str">
        <x:v>Software</x:v>
      </x:c>
      <x:c r="D21" s="13" t="str">
        <x:v>High</x:v>
      </x:c>
      <x:c r="E21" s="13" t="str">
        <x:v>In Progress</x:v>
      </x:c>
      <x:c r="F21" s="13" t="str">
        <x:v>Alex Morgan</x:v>
      </x:c>
      <x:c r="G21" s="14"/>
      <x:c r="H21" s="15"/>
      <x:c r="I21" s="15" t="n">
        <x:v>6</x:v>
      </x:c>
      <x:c r="J21" s="13" t="str">
        <x:v>Pending</x:v>
      </x:c>
    </x:row>
    <x:row r="22">
      <x:c r="A22" s="13" t="str">
        <x:v>T0021</x:v>
      </x:c>
      <x:c r="B22" s="14" t="n">
        <x:v>46273.46875</x:v>
      </x:c>
      <x:c r="C22" s="13" t="str">
        <x:v>Hardware</x:v>
      </x:c>
      <x:c r="D22" s="13" t="str">
        <x:v>Low</x:v>
      </x:c>
      <x:c r="E22" s="13" t="str">
        <x:v>Closed</x:v>
      </x:c>
      <x:c r="F22" s="13" t="str">
        <x:v>Omar Hassan</x:v>
      </x:c>
      <x:c r="G22" s="14" t="n">
        <x:v>46273.854166666664</x:v>
      </x:c>
      <x:c r="H22" s="15" t="n">
        <x:v>9.25</x:v>
      </x:c>
      <x:c r="I22" s="15" t="n">
        <x:v>24</x:v>
      </x:c>
      <x:c r="J22" s="13" t="str">
        <x:v>Yes</x:v>
      </x:c>
    </x:row>
    <x:row r="23">
      <x:c r="A23" s="13" t="str">
        <x:v>T0022</x:v>
      </x:c>
      <x:c r="B23" s="14" t="n">
        <x:v>46283.375</x:v>
      </x:c>
      <x:c r="C23" s="13" t="str">
        <x:v>Hardware</x:v>
      </x:c>
      <x:c r="D23" s="13" t="str">
        <x:v>Medium</x:v>
      </x:c>
      <x:c r="E23" s="13" t="str">
        <x:v>Closed</x:v>
      </x:c>
      <x:c r="F23" s="13" t="str">
        <x:v>Alex Morgan</x:v>
      </x:c>
      <x:c r="G23" s="14" t="n">
        <x:v>46283.95333333333</x:v>
      </x:c>
      <x:c r="H23" s="15" t="n">
        <x:v>13.88</x:v>
      </x:c>
      <x:c r="I23" s="15" t="n">
        <x:v>12</x:v>
      </x:c>
      <x:c r="J23" s="13" t="str">
        <x:v>No</x:v>
      </x:c>
    </x:row>
    <x:row r="24">
      <x:c r="A24" s="13" t="str">
        <x:v>T0023</x:v>
      </x:c>
      <x:c r="B24" s="14" t="n">
        <x:v>46272.583333333336</x:v>
      </x:c>
      <x:c r="C24" s="13" t="str">
        <x:v>Software</x:v>
      </x:c>
      <x:c r="D24" s="13" t="str">
        <x:v>Low</x:v>
      </x:c>
      <x:c r="E24" s="13" t="str">
        <x:v>Closed</x:v>
      </x:c>
      <x:c r="F24" s="13" t="str">
        <x:v>Omar Hassan</x:v>
      </x:c>
      <x:c r="G24" s="14" t="n">
        <x:v>46273.00541666667</x:v>
      </x:c>
      <x:c r="H24" s="15" t="n">
        <x:v>10.13</x:v>
      </x:c>
      <x:c r="I24" s="15" t="n">
        <x:v>24</x:v>
      </x:c>
      <x:c r="J24" s="13" t="str">
        <x:v>Yes</x:v>
      </x:c>
    </x:row>
    <x:row r="25">
      <x:c r="A25" s="13" t="str">
        <x:v>T0024</x:v>
      </x:c>
      <x:c r="B25" s="14" t="n">
        <x:v>46287.635416666664</x:v>
      </x:c>
      <x:c r="C25" s="13" t="str">
        <x:v>Software</x:v>
      </x:c>
      <x:c r="D25" s="13" t="str">
        <x:v>Low</x:v>
      </x:c>
      <x:c r="E25" s="13" t="str">
        <x:v>Closed</x:v>
      </x:c>
      <x:c r="F25" s="13" t="str">
        <x:v>Alex Morgan</x:v>
      </x:c>
      <x:c r="G25" s="14" t="n">
        <x:v>46288.53958333333</x:v>
      </x:c>
      <x:c r="H25" s="15" t="n">
        <x:v>21.7</x:v>
      </x:c>
      <x:c r="I25" s="15" t="n">
        <x:v>24</x:v>
      </x:c>
      <x:c r="J25" s="13" t="str">
        <x:v>Yes</x:v>
      </x:c>
    </x:row>
    <x:row r="26">
      <x:c r="A26" s="13" t="str">
        <x:v>T0025</x:v>
      </x:c>
      <x:c r="B26" s="14" t="n">
        <x:v>46293.677083333336</x:v>
      </x:c>
      <x:c r="C26" s="13" t="str">
        <x:v>Software</x:v>
      </x:c>
      <x:c r="D26" s="13" t="str">
        <x:v>Medium</x:v>
      </x:c>
      <x:c r="E26" s="13" t="str">
        <x:v>In Progress</x:v>
      </x:c>
      <x:c r="F26" s="13" t="str">
        <x:v>Alex Morgan</x:v>
      </x:c>
      <x:c r="G26" s="14"/>
      <x:c r="H26" s="15"/>
      <x:c r="I26" s="15" t="n">
        <x:v>12</x:v>
      </x:c>
      <x:c r="J26" s="13" t="str">
        <x:v>Pending</x:v>
      </x:c>
    </x:row>
    <x:row r="27">
      <x:c r="A27" s="13" t="str">
        <x:v>T0026</x:v>
      </x:c>
      <x:c r="B27" s="14" t="n">
        <x:v>46285.385416666664</x:v>
      </x:c>
      <x:c r="C27" s="13" t="str">
        <x:v>Network</x:v>
      </x:c>
      <x:c r="D27" s="13" t="str">
        <x:v>Critical</x:v>
      </x:c>
      <x:c r="E27" s="13" t="str">
        <x:v>Closed</x:v>
      </x:c>
      <x:c r="F27" s="13" t="str">
        <x:v>Alex Morgan</x:v>
      </x:c>
      <x:c r="G27" s="14" t="n">
        <x:v>46285.480416666665</x:v>
      </x:c>
      <x:c r="H27" s="15" t="n">
        <x:v>2.28</x:v>
      </x:c>
      <x:c r="I27" s="15" t="n">
        <x:v>2</x:v>
      </x:c>
      <x:c r="J27" s="13" t="str">
        <x:v>No</x:v>
      </x:c>
    </x:row>
    <x:row r="28">
      <x:c r="A28" s="13" t="str">
        <x:v>T0027</x:v>
      </x:c>
      <x:c r="B28" s="14" t="n">
        <x:v>46295.510416666664</x:v>
      </x:c>
      <x:c r="C28" s="13" t="str">
        <x:v>Hardware</x:v>
      </x:c>
      <x:c r="D28" s="13" t="str">
        <x:v>Medium</x:v>
      </x:c>
      <x:c r="E28" s="13" t="str">
        <x:v>Closed</x:v>
      </x:c>
      <x:c r="F28" s="13" t="str">
        <x:v>Sam Lee</x:v>
      </x:c>
      <x:c r="G28" s="14" t="n">
        <x:v>46295.76875</x:v>
      </x:c>
      <x:c r="H28" s="15" t="n">
        <x:v>6.2</x:v>
      </x:c>
      <x:c r="I28" s="15" t="n">
        <x:v>12</x:v>
      </x:c>
      <x:c r="J28" s="13" t="str">
        <x:v>Yes</x:v>
      </x:c>
    </x:row>
    <x:row r="29">
      <x:c r="A29" s="13" t="str">
        <x:v>T0028</x:v>
      </x:c>
      <x:c r="B29" s="14" t="n">
        <x:v>46268.364583333336</x:v>
      </x:c>
      <x:c r="C29" s="13" t="str">
        <x:v>Hardware</x:v>
      </x:c>
      <x:c r="D29" s="13" t="str">
        <x:v>Medium</x:v>
      </x:c>
      <x:c r="E29" s="13" t="str">
        <x:v>Closed</x:v>
      </x:c>
      <x:c r="F29" s="13" t="str">
        <x:v>Sam Lee</x:v>
      </x:c>
      <x:c r="G29" s="14" t="n">
        <x:v>46268.525</x:v>
      </x:c>
      <x:c r="H29" s="15" t="n">
        <x:v>3.85</x:v>
      </x:c>
      <x:c r="I29" s="15" t="n">
        <x:v>12</x:v>
      </x:c>
      <x:c r="J29" s="13" t="str">
        <x:v>Yes</x:v>
      </x:c>
    </x:row>
    <x:row r="30">
      <x:c r="A30" s="13" t="str">
        <x:v>T0029</x:v>
      </x:c>
      <x:c r="B30" s="14" t="n">
        <x:v>46273.5625</x:v>
      </x:c>
      <x:c r="C30" s="13" t="str">
        <x:v>Software</x:v>
      </x:c>
      <x:c r="D30" s="13" t="str">
        <x:v>High</x:v>
      </x:c>
      <x:c r="E30" s="13" t="str">
        <x:v>Open</x:v>
      </x:c>
      <x:c r="F30" s="13" t="str">
        <x:v>Alex Morgan</x:v>
      </x:c>
      <x:c r="G30" s="14"/>
      <x:c r="H30" s="15"/>
      <x:c r="I30" s="15" t="n">
        <x:v>6</x:v>
      </x:c>
      <x:c r="J30" s="13" t="str">
        <x:v>Pending</x:v>
      </x:c>
    </x:row>
    <x:row r="31">
      <x:c r="A31" s="13" t="str">
        <x:v>T0030</x:v>
      </x:c>
      <x:c r="B31" s="14" t="n">
        <x:v>46287.6875</x:v>
      </x:c>
      <x:c r="C31" s="13" t="str">
        <x:v>Email</x:v>
      </x:c>
      <x:c r="D31" s="13" t="str">
        <x:v>Low</x:v>
      </x:c>
      <x:c r="E31" s="13" t="str">
        <x:v>In Progress</x:v>
      </x:c>
      <x:c r="F31" s="13" t="str">
        <x:v>Nadia Karim</x:v>
      </x:c>
      <x:c r="G31" s="14"/>
      <x:c r="H31" s="15"/>
      <x:c r="I31" s="15" t="n">
        <x:v>24</x:v>
      </x:c>
      <x:c r="J31" s="13" t="str">
        <x:v>Pending</x:v>
      </x:c>
    </x:row>
    <x:row r="32">
      <x:c r="A32" s="13" t="str">
        <x:v>T0031</x:v>
      </x:c>
      <x:c r="B32" s="14" t="n">
        <x:v>46269.385416666664</x:v>
      </x:c>
      <x:c r="C32" s="13" t="str">
        <x:v>Software</x:v>
      </x:c>
      <x:c r="D32" s="13" t="str">
        <x:v>Medium</x:v>
      </x:c>
      <x:c r="E32" s="13" t="str">
        <x:v>Open</x:v>
      </x:c>
      <x:c r="F32" s="13" t="str">
        <x:v>Sam Lee</x:v>
      </x:c>
      <x:c r="G32" s="14"/>
      <x:c r="H32" s="15"/>
      <x:c r="I32" s="15" t="n">
        <x:v>12</x:v>
      </x:c>
      <x:c r="J32" s="13" t="str">
        <x:v>Pending</x:v>
      </x:c>
    </x:row>
    <x:row r="33">
      <x:c r="A33" s="13" t="str">
        <x:v>T0032</x:v>
      </x:c>
      <x:c r="B33" s="14" t="n">
        <x:v>46287.770833333336</x:v>
      </x:c>
      <x:c r="C33" s="13" t="str">
        <x:v>Network</x:v>
      </x:c>
      <x:c r="D33" s="13" t="str">
        <x:v>Medium</x:v>
      </x:c>
      <x:c r="E33" s="13" t="str">
        <x:v>In Progress</x:v>
      </x:c>
      <x:c r="F33" s="13" t="str">
        <x:v>Alex Morgan</x:v>
      </x:c>
      <x:c r="G33" s="14"/>
      <x:c r="H33" s="15"/>
      <x:c r="I33" s="15" t="n">
        <x:v>12</x:v>
      </x:c>
      <x:c r="J33" s="13" t="str">
        <x:v>Pending</x:v>
      </x:c>
    </x:row>
    <x:row r="34">
      <x:c r="A34" s="13" t="str">
        <x:v>T0033</x:v>
      </x:c>
      <x:c r="B34" s="14" t="n">
        <x:v>46268.78125</x:v>
      </x:c>
      <x:c r="C34" s="13" t="str">
        <x:v>Access</x:v>
      </x:c>
      <x:c r="D34" s="13" t="str">
        <x:v>Low</x:v>
      </x:c>
      <x:c r="E34" s="13" t="str">
        <x:v>Closed</x:v>
      </x:c>
      <x:c r="F34" s="13" t="str">
        <x:v>Sam Lee</x:v>
      </x:c>
      <x:c r="G34" s="14" t="n">
        <x:v>46269.57</x:v>
      </x:c>
      <x:c r="H34" s="15" t="n">
        <x:v>18.93</x:v>
      </x:c>
      <x:c r="I34" s="15" t="n">
        <x:v>24</x:v>
      </x:c>
      <x:c r="J34" s="13" t="str">
        <x:v>Yes</x:v>
      </x:c>
    </x:row>
    <x:row r="35">
      <x:c r="A35" s="13" t="str">
        <x:v>T0034</x:v>
      </x:c>
      <x:c r="B35" s="14" t="n">
        <x:v>46279.666666666664</x:v>
      </x:c>
      <x:c r="C35" s="13" t="str">
        <x:v>Software</x:v>
      </x:c>
      <x:c r="D35" s="13" t="str">
        <x:v>Critical</x:v>
      </x:c>
      <x:c r="E35" s="13" t="str">
        <x:v>Open</x:v>
      </x:c>
      <x:c r="F35" s="13" t="str">
        <x:v>Sam Lee</x:v>
      </x:c>
      <x:c r="G35" s="14"/>
      <x:c r="H35" s="15"/>
      <x:c r="I35" s="15" t="n">
        <x:v>2</x:v>
      </x:c>
      <x:c r="J35" s="13" t="str">
        <x:v>Pending</x:v>
      </x:c>
    </x:row>
    <x:row r="36">
      <x:c r="A36" s="13" t="str">
        <x:v>T0035</x:v>
      </x:c>
      <x:c r="B36" s="14" t="n">
        <x:v>46283.354166666664</x:v>
      </x:c>
      <x:c r="C36" s="13" t="str">
        <x:v>Hardware</x:v>
      </x:c>
      <x:c r="D36" s="13" t="str">
        <x:v>Low</x:v>
      </x:c>
      <x:c r="E36" s="13" t="str">
        <x:v>Closed</x:v>
      </x:c>
      <x:c r="F36" s="13" t="str">
        <x:v>Nadia Karim</x:v>
      </x:c>
      <x:c r="G36" s="14" t="n">
        <x:v>46283.85916666667</x:v>
      </x:c>
      <x:c r="H36" s="15" t="n">
        <x:v>12.12</x:v>
      </x:c>
      <x:c r="I36" s="15" t="n">
        <x:v>24</x:v>
      </x:c>
      <x:c r="J36" s="13" t="str">
        <x:v>Yes</x:v>
      </x:c>
    </x:row>
    <x:row r="37">
      <x:c r="A37" s="13" t="str">
        <x:v>T0036</x:v>
      </x:c>
      <x:c r="B37" s="14" t="n">
        <x:v>46277.46875</x:v>
      </x:c>
      <x:c r="C37" s="13" t="str">
        <x:v>Hardware</x:v>
      </x:c>
      <x:c r="D37" s="13" t="str">
        <x:v>Medium</x:v>
      </x:c>
      <x:c r="E37" s="13" t="str">
        <x:v>Closed</x:v>
      </x:c>
      <x:c r="F37" s="13" t="str">
        <x:v>Omar Hassan</x:v>
      </x:c>
      <x:c r="G37" s="14" t="n">
        <x:v>46277.989166666666</x:v>
      </x:c>
      <x:c r="H37" s="15" t="n">
        <x:v>12.49</x:v>
      </x:c>
      <x:c r="I37" s="15" t="n">
        <x:v>12</x:v>
      </x:c>
      <x:c r="J37" s="13" t="str">
        <x:v>No</x:v>
      </x:c>
    </x:row>
    <x:row r="38">
      <x:c r="A38" s="13" t="str">
        <x:v>T0037</x:v>
      </x:c>
      <x:c r="B38" s="14" t="n">
        <x:v>46271.447916666664</x:v>
      </x:c>
      <x:c r="C38" s="13" t="str">
        <x:v>Software</x:v>
      </x:c>
      <x:c r="D38" s="13" t="str">
        <x:v>High</x:v>
      </x:c>
      <x:c r="E38" s="13" t="str">
        <x:v>Closed</x:v>
      </x:c>
      <x:c r="F38" s="13" t="str">
        <x:v>Omar Hassan</x:v>
      </x:c>
      <x:c r="G38" s="14" t="n">
        <x:v>46271.76</x:v>
      </x:c>
      <x:c r="H38" s="15" t="n">
        <x:v>7.49</x:v>
      </x:c>
      <x:c r="I38" s="15" t="n">
        <x:v>6</x:v>
      </x:c>
      <x:c r="J38" s="13" t="str">
        <x:v>No</x:v>
      </x:c>
    </x:row>
    <x:row r="39">
      <x:c r="A39" s="13" t="str">
        <x:v>T0038</x:v>
      </x:c>
      <x:c r="B39" s="14" t="n">
        <x:v>46291.40625</x:v>
      </x:c>
      <x:c r="C39" s="13" t="str">
        <x:v>Email</x:v>
      </x:c>
      <x:c r="D39" s="13" t="str">
        <x:v>High</x:v>
      </x:c>
      <x:c r="E39" s="13" t="str">
        <x:v>Closed</x:v>
      </x:c>
      <x:c r="F39" s="13" t="str">
        <x:v>Omar Hassan</x:v>
      </x:c>
      <x:c r="G39" s="14" t="n">
        <x:v>46291.738333333335</x:v>
      </x:c>
      <x:c r="H39" s="15" t="n">
        <x:v>7.97</x:v>
      </x:c>
      <x:c r="I39" s="15" t="n">
        <x:v>6</x:v>
      </x:c>
      <x:c r="J39" s="13" t="str">
        <x:v>No</x:v>
      </x:c>
    </x:row>
    <x:row r="40">
      <x:c r="A40" s="13" t="str">
        <x:v>T0039</x:v>
      </x:c>
      <x:c r="B40" s="14" t="n">
        <x:v>46287.489583333336</x:v>
      </x:c>
      <x:c r="C40" s="13" t="str">
        <x:v>Network</x:v>
      </x:c>
      <x:c r="D40" s="13" t="str">
        <x:v>High</x:v>
      </x:c>
      <x:c r="E40" s="13" t="str">
        <x:v>Pending</x:v>
      </x:c>
      <x:c r="F40" s="13" t="str">
        <x:v>Nadia Karim</x:v>
      </x:c>
      <x:c r="G40" s="14"/>
      <x:c r="H40" s="15"/>
      <x:c r="I40" s="15" t="n">
        <x:v>6</x:v>
      </x:c>
      <x:c r="J40" s="13" t="str">
        <x:v>Pending</x:v>
      </x:c>
    </x:row>
    <x:row r="41">
      <x:c r="A41" s="13" t="str">
        <x:v>T0040</x:v>
      </x:c>
      <x:c r="B41" s="14" t="n">
        <x:v>46277.78125</x:v>
      </x:c>
      <x:c r="C41" s="13" t="str">
        <x:v>Hardware</x:v>
      </x:c>
      <x:c r="D41" s="13" t="str">
        <x:v>High</x:v>
      </x:c>
      <x:c r="E41" s="13" t="str">
        <x:v>Closed</x:v>
      </x:c>
      <x:c r="F41" s="13" t="str">
        <x:v>Alex Morgan</x:v>
      </x:c>
      <x:c r="G41" s="14" t="n">
        <x:v>46277.8825</x:v>
      </x:c>
      <x:c r="H41" s="15" t="n">
        <x:v>2.43</x:v>
      </x:c>
      <x:c r="I41" s="15" t="n">
        <x:v>6</x:v>
      </x:c>
      <x:c r="J41" s="13" t="str">
        <x:v>Yes</x:v>
      </x:c>
    </x:row>
    <x:row r="42">
      <x:c r="A42" s="13" t="str">
        <x:v>T0041</x:v>
      </x:c>
      <x:c r="B42" s="14" t="n">
        <x:v>46274.333333333336</x:v>
      </x:c>
      <x:c r="C42" s="13" t="str">
        <x:v>Hardware</x:v>
      </x:c>
      <x:c r="D42" s="13" t="str">
        <x:v>Medium</x:v>
      </x:c>
      <x:c r="E42" s="13" t="str">
        <x:v>In Progress</x:v>
      </x:c>
      <x:c r="F42" s="13" t="str">
        <x:v>Omar Hassan</x:v>
      </x:c>
      <x:c r="G42" s="14"/>
      <x:c r="H42" s="15"/>
      <x:c r="I42" s="15" t="n">
        <x:v>12</x:v>
      </x:c>
      <x:c r="J42" s="13" t="str">
        <x:v>Pending</x:v>
      </x:c>
    </x:row>
    <x:row r="43">
      <x:c r="A43" s="13" t="str">
        <x:v>T0042</x:v>
      </x:c>
      <x:c r="B43" s="14" t="n">
        <x:v>46285.666666666664</x:v>
      </x:c>
      <x:c r="C43" s="13" t="str">
        <x:v>Network</x:v>
      </x:c>
      <x:c r="D43" s="13" t="str">
        <x:v>Medium</x:v>
      </x:c>
      <x:c r="E43" s="13" t="str">
        <x:v>Closed</x:v>
      </x:c>
      <x:c r="F43" s="13" t="str">
        <x:v>Omar Hassan</x:v>
      </x:c>
      <x:c r="G43" s="14" t="n">
        <x:v>46286.29</x:v>
      </x:c>
      <x:c r="H43" s="15" t="n">
        <x:v>14.96</x:v>
      </x:c>
      <x:c r="I43" s="15" t="n">
        <x:v>12</x:v>
      </x:c>
      <x:c r="J43" s="13" t="str">
        <x:v>No</x:v>
      </x:c>
    </x:row>
    <x:row r="44">
      <x:c r="A44" s="13" t="str">
        <x:v>T0043</x:v>
      </x:c>
      <x:c r="B44" s="14" t="n">
        <x:v>46289.760416666664</x:v>
      </x:c>
      <x:c r="C44" s="13" t="str">
        <x:v>Network</x:v>
      </x:c>
      <x:c r="D44" s="13" t="str">
        <x:v>Low</x:v>
      </x:c>
      <x:c r="E44" s="13" t="str">
        <x:v>Open</x:v>
      </x:c>
      <x:c r="F44" s="13" t="str">
        <x:v>Nadia Karim</x:v>
      </x:c>
      <x:c r="G44" s="14"/>
      <x:c r="H44" s="15"/>
      <x:c r="I44" s="15" t="n">
        <x:v>24</x:v>
      </x:c>
      <x:c r="J44" s="13" t="str">
        <x:v>Pending</x:v>
      </x:c>
    </x:row>
    <x:row r="45">
      <x:c r="A45" s="13" t="str">
        <x:v>T0044</x:v>
      </x:c>
      <x:c r="B45" s="14" t="n">
        <x:v>46285.541666666664</x:v>
      </x:c>
      <x:c r="C45" s="13" t="str">
        <x:v>Access</x:v>
      </x:c>
      <x:c r="D45" s="13" t="str">
        <x:v>Medium</x:v>
      </x:c>
      <x:c r="E45" s="13" t="str">
        <x:v>Closed</x:v>
      </x:c>
      <x:c r="F45" s="13" t="str">
        <x:v>Omar Hassan</x:v>
      </x:c>
      <x:c r="G45" s="14" t="n">
        <x:v>46286.03166666667</x:v>
      </x:c>
      <x:c r="H45" s="15" t="n">
        <x:v>11.76</x:v>
      </x:c>
      <x:c r="I45" s="15" t="n">
        <x:v>12</x:v>
      </x:c>
      <x:c r="J45" s="13" t="str">
        <x:v>Yes</x:v>
      </x:c>
    </x:row>
    <x:row r="46">
      <x:c r="A46" s="13" t="str">
        <x:v>T0045</x:v>
      </x:c>
      <x:c r="B46" s="14" t="n">
        <x:v>46287.59375</x:v>
      </x:c>
      <x:c r="C46" s="13" t="str">
        <x:v>Hardware</x:v>
      </x:c>
      <x:c r="D46" s="13" t="str">
        <x:v>Medium</x:v>
      </x:c>
      <x:c r="E46" s="13" t="str">
        <x:v>Closed</x:v>
      </x:c>
      <x:c r="F46" s="13" t="str">
        <x:v>Alex Morgan</x:v>
      </x:c>
      <x:c r="G46" s="14" t="n">
        <x:v>46287.79958333333</x:v>
      </x:c>
      <x:c r="H46" s="15" t="n">
        <x:v>4.94</x:v>
      </x:c>
      <x:c r="I46" s="15" t="n">
        <x:v>12</x:v>
      </x:c>
      <x:c r="J46" s="13" t="str">
        <x:v>Yes</x:v>
      </x:c>
    </x:row>
    <x:row r="47">
      <x:c r="A47" s="13" t="str">
        <x:v>T0046</x:v>
      </x:c>
      <x:c r="B47" s="14" t="n">
        <x:v>46276.65625</x:v>
      </x:c>
      <x:c r="C47" s="13" t="str">
        <x:v>Network</x:v>
      </x:c>
      <x:c r="D47" s="13" t="str">
        <x:v>Low</x:v>
      </x:c>
      <x:c r="E47" s="13" t="str">
        <x:v>Closed</x:v>
      </x:c>
      <x:c r="F47" s="13" t="str">
        <x:v>Sam Lee</x:v>
      </x:c>
      <x:c r="G47" s="14" t="n">
        <x:v>46277.4675</x:v>
      </x:c>
      <x:c r="H47" s="15" t="n">
        <x:v>19.47</x:v>
      </x:c>
      <x:c r="I47" s="15" t="n">
        <x:v>24</x:v>
      </x:c>
      <x:c r="J47" s="13" t="str">
        <x:v>Yes</x:v>
      </x:c>
    </x:row>
    <x:row r="48">
      <x:c r="A48" s="13" t="str">
        <x:v>T0047</x:v>
      </x:c>
      <x:c r="B48" s="14" t="n">
        <x:v>46268.479166666664</x:v>
      </x:c>
      <x:c r="C48" s="13" t="str">
        <x:v>Software</x:v>
      </x:c>
      <x:c r="D48" s="13" t="str">
        <x:v>Low</x:v>
      </x:c>
      <x:c r="E48" s="13" t="str">
        <x:v>Closed</x:v>
      </x:c>
      <x:c r="F48" s="13" t="str">
        <x:v>Sam Lee</x:v>
      </x:c>
      <x:c r="G48" s="14" t="n">
        <x:v>46269.629166666666</x:v>
      </x:c>
      <x:c r="H48" s="15" t="n">
        <x:v>27.6</x:v>
      </x:c>
      <x:c r="I48" s="15" t="n">
        <x:v>24</x:v>
      </x:c>
      <x:c r="J48" s="13" t="str">
        <x:v>No</x:v>
      </x:c>
    </x:row>
    <x:row r="49">
      <x:c r="A49" s="13" t="str">
        <x:v>T0048</x:v>
      </x:c>
      <x:c r="B49" s="14" t="n">
        <x:v>46294.760416666664</x:v>
      </x:c>
      <x:c r="C49" s="13" t="str">
        <x:v>Access</x:v>
      </x:c>
      <x:c r="D49" s="13" t="str">
        <x:v>Medium</x:v>
      </x:c>
      <x:c r="E49" s="13" t="str">
        <x:v>Closed</x:v>
      </x:c>
      <x:c r="F49" s="13" t="str">
        <x:v>Sam Lee</x:v>
      </x:c>
      <x:c r="G49" s="14" t="n">
        <x:v>46294.847083333334</x:v>
      </x:c>
      <x:c r="H49" s="15" t="n">
        <x:v>2.08</x:v>
      </x:c>
      <x:c r="I49" s="15" t="n">
        <x:v>12</x:v>
      </x:c>
      <x:c r="J49" s="13" t="str">
        <x:v>Yes</x:v>
      </x:c>
    </x:row>
    <x:row r="50">
      <x:c r="A50" s="13" t="str">
        <x:v>T0049</x:v>
      </x:c>
      <x:c r="B50" s="14" t="n">
        <x:v>46269.59375</x:v>
      </x:c>
      <x:c r="C50" s="13" t="str">
        <x:v>Software</x:v>
      </x:c>
      <x:c r="D50" s="13" t="str">
        <x:v>Critical</x:v>
      </x:c>
      <x:c r="E50" s="13" t="str">
        <x:v>Closed</x:v>
      </x:c>
      <x:c r="F50" s="13" t="str">
        <x:v>Alex Morgan</x:v>
      </x:c>
      <x:c r="G50" s="14" t="n">
        <x:v>46269.63041666667</x:v>
      </x:c>
      <x:c r="H50" s="15" t="n">
        <x:v>0.88</x:v>
      </x:c>
      <x:c r="I50" s="15" t="n">
        <x:v>2</x:v>
      </x:c>
      <x:c r="J50" s="13" t="str">
        <x:v>Yes</x:v>
      </x:c>
    </x:row>
    <x:row r="51">
      <x:c r="A51" s="13" t="str">
        <x:v>T0050</x:v>
      </x:c>
      <x:c r="B51" s="14" t="n">
        <x:v>46280.770833333336</x:v>
      </x:c>
      <x:c r="C51" s="13" t="str">
        <x:v>Email</x:v>
      </x:c>
      <x:c r="D51" s="13" t="str">
        <x:v>High</x:v>
      </x:c>
      <x:c r="E51" s="13" t="str">
        <x:v>Closed</x:v>
      </x:c>
      <x:c r="F51" s="13" t="str">
        <x:v>Omar Hassan</x:v>
      </x:c>
      <x:c r="G51" s="14" t="n">
        <x:v>46281.111666666664</x:v>
      </x:c>
      <x:c r="H51" s="15" t="n">
        <x:v>8.18</x:v>
      </x:c>
      <x:c r="I51" s="15" t="n">
        <x:v>6</x:v>
      </x:c>
      <x:c r="J51" s="13" t="str">
        <x:v>No</x:v>
      </x:c>
    </x:row>
    <x:row r="52">
      <x:c r="A52" s="13" t="str">
        <x:v>T0051</x:v>
      </x:c>
      <x:c r="B52" s="14" t="n">
        <x:v>46281.645833333336</x:v>
      </x:c>
      <x:c r="C52" s="13" t="str">
        <x:v>Access</x:v>
      </x:c>
      <x:c r="D52" s="13" t="str">
        <x:v>High</x:v>
      </x:c>
      <x:c r="E52" s="13" t="str">
        <x:v>Closed</x:v>
      </x:c>
      <x:c r="F52" s="13" t="str">
        <x:v>Omar Hassan</x:v>
      </x:c>
      <x:c r="G52" s="14" t="n">
        <x:v>46281.71333333333</x:v>
      </x:c>
      <x:c r="H52" s="15" t="n">
        <x:v>1.62</x:v>
      </x:c>
      <x:c r="I52" s="15" t="n">
        <x:v>6</x:v>
      </x:c>
      <x:c r="J52" s="13" t="str">
        <x:v>Yes</x:v>
      </x:c>
    </x:row>
    <x:row r="53">
      <x:c r="A53" s="13" t="str">
        <x:v>T0052</x:v>
      </x:c>
      <x:c r="B53" s="14" t="n">
        <x:v>46274.5625</x:v>
      </x:c>
      <x:c r="C53" s="13" t="str">
        <x:v>Email</x:v>
      </x:c>
      <x:c r="D53" s="13" t="str">
        <x:v>Low</x:v>
      </x:c>
      <x:c r="E53" s="13" t="str">
        <x:v>Closed</x:v>
      </x:c>
      <x:c r="F53" s="13" t="str">
        <x:v>Omar Hassan</x:v>
      </x:c>
      <x:c r="G53" s="14" t="n">
        <x:v>46275.410416666666</x:v>
      </x:c>
      <x:c r="H53" s="15" t="n">
        <x:v>20.35</x:v>
      </x:c>
      <x:c r="I53" s="15" t="n">
        <x:v>24</x:v>
      </x:c>
      <x:c r="J53" s="13" t="str">
        <x:v>Yes</x:v>
      </x:c>
    </x:row>
    <x:row r="54">
      <x:c r="A54" s="13" t="str">
        <x:v>T0053</x:v>
      </x:c>
      <x:c r="B54" s="14" t="n">
        <x:v>46283.65625</x:v>
      </x:c>
      <x:c r="C54" s="13" t="str">
        <x:v>Software</x:v>
      </x:c>
      <x:c r="D54" s="13" t="str">
        <x:v>High</x:v>
      </x:c>
      <x:c r="E54" s="13" t="str">
        <x:v>Closed</x:v>
      </x:c>
      <x:c r="F54" s="13" t="str">
        <x:v>Alex Morgan</x:v>
      </x:c>
      <x:c r="G54" s="14" t="n">
        <x:v>46283.824583333335</x:v>
      </x:c>
      <x:c r="H54" s="15" t="n">
        <x:v>4.04</x:v>
      </x:c>
      <x:c r="I54" s="15" t="n">
        <x:v>6</x:v>
      </x:c>
      <x:c r="J54" s="13" t="str">
        <x:v>Yes</x:v>
      </x:c>
    </x:row>
    <x:row r="55">
      <x:c r="A55" s="13" t="str">
        <x:v>T0054</x:v>
      </x:c>
      <x:c r="B55" s="14" t="n">
        <x:v>46277.53125</x:v>
      </x:c>
      <x:c r="C55" s="13" t="str">
        <x:v>Access</x:v>
      </x:c>
      <x:c r="D55" s="13" t="str">
        <x:v>Critical</x:v>
      </x:c>
      <x:c r="E55" s="13" t="str">
        <x:v>Closed</x:v>
      </x:c>
      <x:c r="F55" s="13" t="str">
        <x:v>Sam Lee</x:v>
      </x:c>
      <x:c r="G55" s="14" t="n">
        <x:v>46277.60625</x:v>
      </x:c>
      <x:c r="H55" s="15" t="n">
        <x:v>1.8</x:v>
      </x:c>
      <x:c r="I55" s="15" t="n">
        <x:v>2</x:v>
      </x:c>
      <x:c r="J55" s="13" t="str">
        <x:v>Yes</x:v>
      </x:c>
    </x:row>
    <x:row r="56">
      <x:c r="A56" s="13" t="str">
        <x:v>T0055</x:v>
      </x:c>
      <x:c r="B56" s="14" t="n">
        <x:v>46287.78125</x:v>
      </x:c>
      <x:c r="C56" s="13" t="str">
        <x:v>Access</x:v>
      </x:c>
      <x:c r="D56" s="13" t="str">
        <x:v>High</x:v>
      </x:c>
      <x:c r="E56" s="13" t="str">
        <x:v>In Progress</x:v>
      </x:c>
      <x:c r="F56" s="13" t="str">
        <x:v>Alex Morgan</x:v>
      </x:c>
      <x:c r="G56" s="14"/>
      <x:c r="H56" s="15"/>
      <x:c r="I56" s="15" t="n">
        <x:v>6</x:v>
      </x:c>
      <x:c r="J56" s="13" t="str">
        <x:v>Pending</x:v>
      </x:c>
    </x:row>
    <x:row r="57">
      <x:c r="A57" s="13" t="str">
        <x:v>T0056</x:v>
      </x:c>
      <x:c r="B57" s="14" t="n">
        <x:v>46295.583333333336</x:v>
      </x:c>
      <x:c r="C57" s="13" t="str">
        <x:v>Software</x:v>
      </x:c>
      <x:c r="D57" s="13" t="str">
        <x:v>Medium</x:v>
      </x:c>
      <x:c r="E57" s="13" t="str">
        <x:v>In Progress</x:v>
      </x:c>
      <x:c r="F57" s="13" t="str">
        <x:v>Sam Lee</x:v>
      </x:c>
      <x:c r="G57" s="14"/>
      <x:c r="H57" s="15"/>
      <x:c r="I57" s="15" t="n">
        <x:v>12</x:v>
      </x:c>
      <x:c r="J57" s="13" t="str">
        <x:v>Pending</x:v>
      </x:c>
    </x:row>
    <x:row r="58">
      <x:c r="A58" s="13" t="str">
        <x:v>T0057</x:v>
      </x:c>
      <x:c r="B58" s="14" t="n">
        <x:v>46267.53125</x:v>
      </x:c>
      <x:c r="C58" s="13" t="str">
        <x:v>Network</x:v>
      </x:c>
      <x:c r="D58" s="13" t="str">
        <x:v>Medium</x:v>
      </x:c>
      <x:c r="E58" s="13" t="str">
        <x:v>Closed</x:v>
      </x:c>
      <x:c r="F58" s="13" t="str">
        <x:v>Omar Hassan</x:v>
      </x:c>
      <x:c r="G58" s="14" t="n">
        <x:v>46268.169583333336</x:v>
      </x:c>
      <x:c r="H58" s="15" t="n">
        <x:v>15.32</x:v>
      </x:c>
      <x:c r="I58" s="15" t="n">
        <x:v>12</x:v>
      </x:c>
      <x:c r="J58" s="13" t="str">
        <x:v>No</x:v>
      </x:c>
    </x:row>
    <x:row r="59">
      <x:c r="A59" s="13" t="str">
        <x:v>T0058</x:v>
      </x:c>
      <x:c r="B59" s="14" t="n">
        <x:v>46281.333333333336</x:v>
      </x:c>
      <x:c r="C59" s="13" t="str">
        <x:v>Email</x:v>
      </x:c>
      <x:c r="D59" s="13" t="str">
        <x:v>Medium</x:v>
      </x:c>
      <x:c r="E59" s="13" t="str">
        <x:v>Open</x:v>
      </x:c>
      <x:c r="F59" s="13" t="str">
        <x:v>Alex Morgan</x:v>
      </x:c>
      <x:c r="G59" s="14"/>
      <x:c r="H59" s="15"/>
      <x:c r="I59" s="15" t="n">
        <x:v>12</x:v>
      </x:c>
      <x:c r="J59" s="13" t="str">
        <x:v>Pending</x:v>
      </x:c>
    </x:row>
    <x:row r="60">
      <x:c r="A60" s="13" t="str">
        <x:v>T0059</x:v>
      </x:c>
      <x:c r="B60" s="14" t="n">
        <x:v>46290.34375</x:v>
      </x:c>
      <x:c r="C60" s="13" t="str">
        <x:v>Software</x:v>
      </x:c>
      <x:c r="D60" s="13" t="str">
        <x:v>Low</x:v>
      </x:c>
      <x:c r="E60" s="13" t="str">
        <x:v>Closed</x:v>
      </x:c>
      <x:c r="F60" s="13" t="str">
        <x:v>Sam Lee</x:v>
      </x:c>
      <x:c r="G60" s="14" t="n">
        <x:v>46290.96208333333</x:v>
      </x:c>
      <x:c r="H60" s="15" t="n">
        <x:v>14.84</x:v>
      </x:c>
      <x:c r="I60" s="15" t="n">
        <x:v>24</x:v>
      </x:c>
      <x:c r="J60" s="13" t="str">
        <x:v>Yes</x:v>
      </x:c>
    </x:row>
    <x:row r="61">
      <x:c r="A61" s="13" t="str">
        <x:v>T0060</x:v>
      </x:c>
      <x:c r="B61" s="14" t="n">
        <x:v>46274.552083333336</x:v>
      </x:c>
      <x:c r="C61" s="13" t="str">
        <x:v>Hardware</x:v>
      </x:c>
      <x:c r="D61" s="13" t="str">
        <x:v>Critical</x:v>
      </x:c>
      <x:c r="E61" s="13" t="str">
        <x:v>Open</x:v>
      </x:c>
      <x:c r="F61" s="13" t="str">
        <x:v>Sam Lee</x:v>
      </x:c>
      <x:c r="G61" s="14"/>
      <x:c r="H61" s="15"/>
      <x:c r="I61" s="15" t="n">
        <x:v>2</x:v>
      </x:c>
      <x:c r="J61" s="13" t="str">
        <x:v>Pending</x:v>
      </x:c>
    </x:row>
    <x:row r="62">
      <x:c r="A62" s="13" t="str">
        <x:v>T0061</x:v>
      </x:c>
      <x:c r="B62" s="14" t="n">
        <x:v>46275.375</x:v>
      </x:c>
      <x:c r="C62" s="13" t="str">
        <x:v>Email</x:v>
      </x:c>
      <x:c r="D62" s="13" t="str">
        <x:v>Medium</x:v>
      </x:c>
      <x:c r="E62" s="13" t="str">
        <x:v>In Progress</x:v>
      </x:c>
      <x:c r="F62" s="13" t="str">
        <x:v>Omar Hassan</x:v>
      </x:c>
      <x:c r="G62" s="14"/>
      <x:c r="H62" s="15"/>
      <x:c r="I62" s="15" t="n">
        <x:v>12</x:v>
      </x:c>
      <x:c r="J62" s="13" t="str">
        <x:v>Pending</x:v>
      </x:c>
    </x:row>
    <x:row r="63">
      <x:c r="A63" s="13" t="str">
        <x:v>T0062</x:v>
      </x:c>
      <x:c r="B63" s="14" t="n">
        <x:v>46278.458333333336</x:v>
      </x:c>
      <x:c r="C63" s="13" t="str">
        <x:v>Hardware</x:v>
      </x:c>
      <x:c r="D63" s="13" t="str">
        <x:v>High</x:v>
      </x:c>
      <x:c r="E63" s="13" t="str">
        <x:v>Closed</x:v>
      </x:c>
      <x:c r="F63" s="13" t="str">
        <x:v>Nadia Karim</x:v>
      </x:c>
      <x:c r="G63" s="14" t="n">
        <x:v>46278.54041666666</x:v>
      </x:c>
      <x:c r="H63" s="15" t="n">
        <x:v>1.97</x:v>
      </x:c>
      <x:c r="I63" s="15" t="n">
        <x:v>6</x:v>
      </x:c>
      <x:c r="J63" s="13" t="str">
        <x:v>Yes</x:v>
      </x:c>
    </x:row>
    <x:row r="64">
      <x:c r="A64" s="13" t="str">
        <x:v>T0063</x:v>
      </x:c>
      <x:c r="B64" s="14" t="n">
        <x:v>46291.354166666664</x:v>
      </x:c>
      <x:c r="C64" s="13" t="str">
        <x:v>Hardware</x:v>
      </x:c>
      <x:c r="D64" s="13" t="str">
        <x:v>High</x:v>
      </x:c>
      <x:c r="E64" s="13" t="str">
        <x:v>Closed</x:v>
      </x:c>
      <x:c r="F64" s="13" t="str">
        <x:v>Nadia Karim</x:v>
      </x:c>
      <x:c r="G64" s="14" t="n">
        <x:v>46291.559166666666</x:v>
      </x:c>
      <x:c r="H64" s="15" t="n">
        <x:v>4.92</x:v>
      </x:c>
      <x:c r="I64" s="15" t="n">
        <x:v>6</x:v>
      </x:c>
      <x:c r="J64" s="13" t="str">
        <x:v>Yes</x:v>
      </x:c>
    </x:row>
    <x:row r="65">
      <x:c r="A65" s="13" t="str">
        <x:v>T0064</x:v>
      </x:c>
      <x:c r="B65" s="14" t="n">
        <x:v>46277.78125</x:v>
      </x:c>
      <x:c r="C65" s="13" t="str">
        <x:v>Hardware</x:v>
      </x:c>
      <x:c r="D65" s="13" t="str">
        <x:v>Medium</x:v>
      </x:c>
      <x:c r="E65" s="13" t="str">
        <x:v>Open</x:v>
      </x:c>
      <x:c r="F65" s="13" t="str">
        <x:v>Nadia Karim</x:v>
      </x:c>
      <x:c r="G65" s="14"/>
      <x:c r="H65" s="15"/>
      <x:c r="I65" s="15" t="n">
        <x:v>12</x:v>
      </x:c>
      <x:c r="J65" s="13" t="str">
        <x:v>Pending</x:v>
      </x:c>
    </x:row>
    <x:row r="66">
      <x:c r="A66" s="13" t="str">
        <x:v>T0065</x:v>
      </x:c>
      <x:c r="B66" s="14" t="n">
        <x:v>46285.697916666664</x:v>
      </x:c>
      <x:c r="C66" s="13" t="str">
        <x:v>Network</x:v>
      </x:c>
      <x:c r="D66" s="13" t="str">
        <x:v>High</x:v>
      </x:c>
      <x:c r="E66" s="13" t="str">
        <x:v>Closed</x:v>
      </x:c>
      <x:c r="F66" s="13" t="str">
        <x:v>Nadia Karim</x:v>
      </x:c>
      <x:c r="G66" s="14" t="n">
        <x:v>46285.76833333333</x:v>
      </x:c>
      <x:c r="H66" s="15" t="n">
        <x:v>1.69</x:v>
      </x:c>
      <x:c r="I66" s="15" t="n">
        <x:v>6</x:v>
      </x:c>
      <x:c r="J66" s="13" t="str">
        <x:v>Yes</x:v>
      </x:c>
    </x:row>
    <x:row r="67">
      <x:c r="A67" s="13" t="str">
        <x:v>T0066</x:v>
      </x:c>
      <x:c r="B67" s="14" t="n">
        <x:v>46273.65625</x:v>
      </x:c>
      <x:c r="C67" s="13" t="str">
        <x:v>Network</x:v>
      </x:c>
      <x:c r="D67" s="13" t="str">
        <x:v>Medium</x:v>
      </x:c>
      <x:c r="E67" s="13" t="str">
        <x:v>Closed</x:v>
      </x:c>
      <x:c r="F67" s="13" t="str">
        <x:v>Omar Hassan</x:v>
      </x:c>
      <x:c r="G67" s="14" t="n">
        <x:v>46274.205</x:v>
      </x:c>
      <x:c r="H67" s="15" t="n">
        <x:v>13.17</x:v>
      </x:c>
      <x:c r="I67" s="15" t="n">
        <x:v>12</x:v>
      </x:c>
      <x:c r="J67" s="13" t="str">
        <x:v>No</x:v>
      </x:c>
    </x:row>
    <x:row r="68">
      <x:c r="A68" s="13" t="str">
        <x:v>T0067</x:v>
      </x:c>
      <x:c r="B68" s="14" t="n">
        <x:v>46288.5</x:v>
      </x:c>
      <x:c r="C68" s="13" t="str">
        <x:v>Network</x:v>
      </x:c>
      <x:c r="D68" s="13" t="str">
        <x:v>Low</x:v>
      </x:c>
      <x:c r="E68" s="13" t="str">
        <x:v>Closed</x:v>
      </x:c>
      <x:c r="F68" s="13" t="str">
        <x:v>Omar Hassan</x:v>
      </x:c>
      <x:c r="G68" s="14" t="n">
        <x:v>46289.13375</x:v>
      </x:c>
      <x:c r="H68" s="15" t="n">
        <x:v>15.21</x:v>
      </x:c>
      <x:c r="I68" s="15" t="n">
        <x:v>24</x:v>
      </x:c>
      <x:c r="J68" s="13" t="str">
        <x:v>Yes</x:v>
      </x:c>
    </x:row>
    <x:row r="69">
      <x:c r="A69" s="13" t="str">
        <x:v>T0068</x:v>
      </x:c>
      <x:c r="B69" s="14" t="n">
        <x:v>46281.625</x:v>
      </x:c>
      <x:c r="C69" s="13" t="str">
        <x:v>Software</x:v>
      </x:c>
      <x:c r="D69" s="13" t="str">
        <x:v>Low</x:v>
      </x:c>
      <x:c r="E69" s="13" t="str">
        <x:v>Open</x:v>
      </x:c>
      <x:c r="F69" s="13" t="str">
        <x:v>Nadia Karim</x:v>
      </x:c>
      <x:c r="G69" s="14"/>
      <x:c r="H69" s="15"/>
      <x:c r="I69" s="15" t="n">
        <x:v>24</x:v>
      </x:c>
      <x:c r="J69" s="13" t="str">
        <x:v>Pending</x:v>
      </x:c>
    </x:row>
    <x:row r="70">
      <x:c r="A70" s="13" t="str">
        <x:v>T0069</x:v>
      </x:c>
      <x:c r="B70" s="14" t="n">
        <x:v>46287.729166666664</x:v>
      </x:c>
      <x:c r="C70" s="13" t="str">
        <x:v>Network</x:v>
      </x:c>
      <x:c r="D70" s="13" t="str">
        <x:v>Medium</x:v>
      </x:c>
      <x:c r="E70" s="13" t="str">
        <x:v>Closed</x:v>
      </x:c>
      <x:c r="F70" s="13" t="str">
        <x:v>Nadia Karim</x:v>
      </x:c>
      <x:c r="G70" s="14" t="n">
        <x:v>46288.07708333333</x:v>
      </x:c>
      <x:c r="H70" s="15" t="n">
        <x:v>8.35</x:v>
      </x:c>
      <x:c r="I70" s="15" t="n">
        <x:v>12</x:v>
      </x:c>
      <x:c r="J70" s="13" t="str">
        <x:v>Yes</x:v>
      </x:c>
    </x:row>
    <x:row r="71">
      <x:c r="A71" s="13" t="str">
        <x:v>T0070</x:v>
      </x:c>
      <x:c r="B71" s="14" t="n">
        <x:v>46289.479166666664</x:v>
      </x:c>
      <x:c r="C71" s="13" t="str">
        <x:v>Software</x:v>
      </x:c>
      <x:c r="D71" s="13" t="str">
        <x:v>Medium</x:v>
      </x:c>
      <x:c r="E71" s="13" t="str">
        <x:v>Open</x:v>
      </x:c>
      <x:c r="F71" s="13" t="str">
        <x:v>Sam Lee</x:v>
      </x:c>
      <x:c r="G71" s="14"/>
      <x:c r="H71" s="15"/>
      <x:c r="I71" s="15" t="n">
        <x:v>12</x:v>
      </x:c>
      <x:c r="J71" s="13" t="str">
        <x:v>Pending</x:v>
      </x:c>
    </x:row>
    <x:row r="72">
      <x:c r="A72" s="13" t="str">
        <x:v>T0071</x:v>
      </x:c>
      <x:c r="B72" s="14" t="n">
        <x:v>46272.489583333336</x:v>
      </x:c>
      <x:c r="C72" s="13" t="str">
        <x:v>Software</x:v>
      </x:c>
      <x:c r="D72" s="13" t="str">
        <x:v>Medium</x:v>
      </x:c>
      <x:c r="E72" s="13" t="str">
        <x:v>Open</x:v>
      </x:c>
      <x:c r="F72" s="13" t="str">
        <x:v>Nadia Karim</x:v>
      </x:c>
      <x:c r="G72" s="14"/>
      <x:c r="H72" s="15"/>
      <x:c r="I72" s="15" t="n">
        <x:v>12</x:v>
      </x:c>
      <x:c r="J72" s="13" t="str">
        <x:v>Pending</x:v>
      </x:c>
    </x:row>
    <x:row r="73">
      <x:c r="A73" s="13" t="str">
        <x:v>T0072</x:v>
      </x:c>
      <x:c r="B73" s="14" t="n">
        <x:v>46269.479166666664</x:v>
      </x:c>
      <x:c r="C73" s="13" t="str">
        <x:v>Software</x:v>
      </x:c>
      <x:c r="D73" s="13" t="str">
        <x:v>Low</x:v>
      </x:c>
      <x:c r="E73" s="13" t="str">
        <x:v>Closed</x:v>
      </x:c>
      <x:c r="F73" s="13" t="str">
        <x:v>Sam Lee</x:v>
      </x:c>
      <x:c r="G73" s="14" t="n">
        <x:v>46269.89</x:v>
      </x:c>
      <x:c r="H73" s="15" t="n">
        <x:v>9.86</x:v>
      </x:c>
      <x:c r="I73" s="15" t="n">
        <x:v>24</x:v>
      </x:c>
      <x:c r="J73" s="13" t="str">
        <x:v>Yes</x:v>
      </x:c>
    </x:row>
    <x:row r="74">
      <x:c r="A74" s="13" t="str">
        <x:v>T0073</x:v>
      </x:c>
      <x:c r="B74" s="14" t="n">
        <x:v>46270.78125</x:v>
      </x:c>
      <x:c r="C74" s="13" t="str">
        <x:v>Software</x:v>
      </x:c>
      <x:c r="D74" s="13" t="str">
        <x:v>Low</x:v>
      </x:c>
      <x:c r="E74" s="13" t="str">
        <x:v>Closed</x:v>
      </x:c>
      <x:c r="F74" s="13" t="str">
        <x:v>Omar Hassan</x:v>
      </x:c>
      <x:c r="G74" s="14" t="n">
        <x:v>46271.365</x:v>
      </x:c>
      <x:c r="H74" s="15" t="n">
        <x:v>14.01</x:v>
      </x:c>
      <x:c r="I74" s="15" t="n">
        <x:v>24</x:v>
      </x:c>
      <x:c r="J74" s="13" t="str">
        <x:v>Yes</x:v>
      </x:c>
    </x:row>
    <x:row r="75">
      <x:c r="A75" s="13" t="str">
        <x:v>T0074</x:v>
      </x:c>
      <x:c r="B75" s="14" t="n">
        <x:v>46281.375</x:v>
      </x:c>
      <x:c r="C75" s="13" t="str">
        <x:v>Network</x:v>
      </x:c>
      <x:c r="D75" s="13" t="str">
        <x:v>Low</x:v>
      </x:c>
      <x:c r="E75" s="13" t="str">
        <x:v>Closed</x:v>
      </x:c>
      <x:c r="F75" s="13" t="str">
        <x:v>Alex Morgan</x:v>
      </x:c>
      <x:c r="G75" s="14" t="n">
        <x:v>46281.65791666666</x:v>
      </x:c>
      <x:c r="H75" s="15" t="n">
        <x:v>6.79</x:v>
      </x:c>
      <x:c r="I75" s="15" t="n">
        <x:v>24</x:v>
      </x:c>
      <x:c r="J75" s="13" t="str">
        <x:v>Yes</x:v>
      </x:c>
    </x:row>
    <x:row r="76">
      <x:c r="A76" s="13" t="str">
        <x:v>T0075</x:v>
      </x:c>
      <x:c r="B76" s="14" t="n">
        <x:v>46273.40625</x:v>
      </x:c>
      <x:c r="C76" s="13" t="str">
        <x:v>Hardware</x:v>
      </x:c>
      <x:c r="D76" s="13" t="str">
        <x:v>High</x:v>
      </x:c>
      <x:c r="E76" s="13" t="str">
        <x:v>Closed</x:v>
      </x:c>
      <x:c r="F76" s="13" t="str">
        <x:v>Omar Hassan</x:v>
      </x:c>
      <x:c r="G76" s="14" t="n">
        <x:v>46273.73458333333</x:v>
      </x:c>
      <x:c r="H76" s="15" t="n">
        <x:v>7.88</x:v>
      </x:c>
      <x:c r="I76" s="15" t="n">
        <x:v>6</x:v>
      </x:c>
      <x:c r="J76" s="13" t="str">
        <x:v>No</x:v>
      </x:c>
    </x:row>
    <x:row r="77">
      <x:c r="A77" s="13" t="str">
        <x:v>T0076</x:v>
      </x:c>
      <x:c r="B77" s="14" t="n">
        <x:v>46275.708333333336</x:v>
      </x:c>
      <x:c r="C77" s="13" t="str">
        <x:v>Hardware</x:v>
      </x:c>
      <x:c r="D77" s="13" t="str">
        <x:v>High</x:v>
      </x:c>
      <x:c r="E77" s="13" t="str">
        <x:v>Pending</x:v>
      </x:c>
      <x:c r="F77" s="13" t="str">
        <x:v>Sam Lee</x:v>
      </x:c>
      <x:c r="G77" s="14"/>
      <x:c r="H77" s="15"/>
      <x:c r="I77" s="15" t="n">
        <x:v>6</x:v>
      </x:c>
      <x:c r="J77" s="13" t="str">
        <x:v>Pending</x:v>
      </x:c>
    </x:row>
    <x:row r="78">
      <x:c r="A78" s="13" t="str">
        <x:v>T0077</x:v>
      </x:c>
      <x:c r="B78" s="14" t="n">
        <x:v>46286.479166666664</x:v>
      </x:c>
      <x:c r="C78" s="13" t="str">
        <x:v>Hardware</x:v>
      </x:c>
      <x:c r="D78" s="13" t="str">
        <x:v>Low</x:v>
      </x:c>
      <x:c r="E78" s="13" t="str">
        <x:v>Closed</x:v>
      </x:c>
      <x:c r="F78" s="13" t="str">
        <x:v>Alex Morgan</x:v>
      </x:c>
      <x:c r="G78" s="14" t="n">
        <x:v>46286.76708333333</x:v>
      </x:c>
      <x:c r="H78" s="15" t="n">
        <x:v>6.91</x:v>
      </x:c>
      <x:c r="I78" s="15" t="n">
        <x:v>24</x:v>
      </x:c>
      <x:c r="J78" s="13" t="str">
        <x:v>Yes</x:v>
      </x:c>
    </x:row>
    <x:row r="79">
      <x:c r="A79" s="13" t="str">
        <x:v>T0078</x:v>
      </x:c>
      <x:c r="B79" s="14" t="n">
        <x:v>46267.479166666664</x:v>
      </x:c>
      <x:c r="C79" s="13" t="str">
        <x:v>Hardware</x:v>
      </x:c>
      <x:c r="D79" s="13" t="str">
        <x:v>High</x:v>
      </x:c>
      <x:c r="E79" s="13" t="str">
        <x:v>Closed</x:v>
      </x:c>
      <x:c r="F79" s="13" t="str">
        <x:v>Sam Lee</x:v>
      </x:c>
      <x:c r="G79" s="14" t="n">
        <x:v>46267.729166666664</x:v>
      </x:c>
      <x:c r="H79" s="15" t="n">
        <x:v>6</x:v>
      </x:c>
      <x:c r="I79" s="15" t="n">
        <x:v>6</x:v>
      </x:c>
      <x:c r="J79" s="13" t="str">
        <x:v>Yes</x:v>
      </x:c>
    </x:row>
    <x:row r="80">
      <x:c r="A80" s="13" t="str">
        <x:v>T0079</x:v>
      </x:c>
      <x:c r="B80" s="14" t="n">
        <x:v>46295.489583333336</x:v>
      </x:c>
      <x:c r="C80" s="13" t="str">
        <x:v>Software</x:v>
      </x:c>
      <x:c r="D80" s="13" t="str">
        <x:v>Low</x:v>
      </x:c>
      <x:c r="E80" s="13" t="str">
        <x:v>Closed</x:v>
      </x:c>
      <x:c r="F80" s="13" t="str">
        <x:v>Nadia Karim</x:v>
      </x:c>
      <x:c r="G80" s="14" t="n">
        <x:v>46296.47583333333</x:v>
      </x:c>
      <x:c r="H80" s="15" t="n">
        <x:v>23.67</x:v>
      </x:c>
      <x:c r="I80" s="15" t="n">
        <x:v>24</x:v>
      </x:c>
      <x:c r="J80" s="13" t="str">
        <x:v>Yes</x:v>
      </x:c>
    </x:row>
    <x:row r="81">
      <x:c r="A81" s="13" t="str">
        <x:v>T0080</x:v>
      </x:c>
      <x:c r="B81" s="14" t="n">
        <x:v>46289.729166666664</x:v>
      </x:c>
      <x:c r="C81" s="13" t="str">
        <x:v>Network</x:v>
      </x:c>
      <x:c r="D81" s="13" t="str">
        <x:v>Medium</x:v>
      </x:c>
      <x:c r="E81" s="13" t="str">
        <x:v>Closed</x:v>
      </x:c>
      <x:c r="F81" s="13" t="str">
        <x:v>Omar Hassan</x:v>
      </x:c>
      <x:c r="G81" s="14" t="n">
        <x:v>46290.104583333334</x:v>
      </x:c>
      <x:c r="H81" s="15" t="n">
        <x:v>9.01</x:v>
      </x:c>
      <x:c r="I81" s="15" t="n">
        <x:v>12</x:v>
      </x:c>
      <x:c r="J81" s="13" t="str">
        <x:v>Yes</x:v>
      </x:c>
    </x:row>
    <x:row r="82">
      <x:c r="A82" s="13" t="str">
        <x:v>T0081</x:v>
      </x:c>
      <x:c r="B82" s="14" t="n">
        <x:v>46267.604166666664</x:v>
      </x:c>
      <x:c r="C82" s="13" t="str">
        <x:v>Hardware</x:v>
      </x:c>
      <x:c r="D82" s="13" t="str">
        <x:v>Low</x:v>
      </x:c>
      <x:c r="E82" s="13" t="str">
        <x:v>Closed</x:v>
      </x:c>
      <x:c r="F82" s="13" t="str">
        <x:v>Alex Morgan</x:v>
      </x:c>
      <x:c r="G82" s="14" t="n">
        <x:v>46268.770416666666</x:v>
      </x:c>
      <x:c r="H82" s="15" t="n">
        <x:v>27.99</x:v>
      </x:c>
      <x:c r="I82" s="15" t="n">
        <x:v>24</x:v>
      </x:c>
      <x:c r="J82" s="13" t="str">
        <x:v>No</x:v>
      </x:c>
    </x:row>
    <x:row r="83">
      <x:c r="A83" s="13" t="str">
        <x:v>T0082</x:v>
      </x:c>
      <x:c r="B83" s="14" t="n">
        <x:v>46290.447916666664</x:v>
      </x:c>
      <x:c r="C83" s="13" t="str">
        <x:v>Network</x:v>
      </x:c>
      <x:c r="D83" s="13" t="str">
        <x:v>Medium</x:v>
      </x:c>
      <x:c r="E83" s="13" t="str">
        <x:v>Closed</x:v>
      </x:c>
      <x:c r="F83" s="13" t="str">
        <x:v>Omar Hassan</x:v>
      </x:c>
      <x:c r="G83" s="14" t="n">
        <x:v>46290.81791666667</x:v>
      </x:c>
      <x:c r="H83" s="15" t="n">
        <x:v>8.88</x:v>
      </x:c>
      <x:c r="I83" s="15" t="n">
        <x:v>12</x:v>
      </x:c>
      <x:c r="J83" s="13" t="str">
        <x:v>Yes</x:v>
      </x:c>
    </x:row>
    <x:row r="84">
      <x:c r="A84" s="13" t="str">
        <x:v>T0083</x:v>
      </x:c>
      <x:c r="B84" s="14" t="n">
        <x:v>46276.541666666664</x:v>
      </x:c>
      <x:c r="C84" s="13" t="str">
        <x:v>Access</x:v>
      </x:c>
      <x:c r="D84" s="13" t="str">
        <x:v>Medium</x:v>
      </x:c>
      <x:c r="E84" s="13" t="str">
        <x:v>Open</x:v>
      </x:c>
      <x:c r="F84" s="13" t="str">
        <x:v>Nadia Karim</x:v>
      </x:c>
      <x:c r="G84" s="14"/>
      <x:c r="H84" s="15"/>
      <x:c r="I84" s="15" t="n">
        <x:v>12</x:v>
      </x:c>
      <x:c r="J84" s="13" t="str">
        <x:v>Pending</x:v>
      </x:c>
    </x:row>
    <x:row r="85">
      <x:c r="A85" s="13" t="str">
        <x:v>T0084</x:v>
      </x:c>
      <x:c r="B85" s="14" t="n">
        <x:v>46287.583333333336</x:v>
      </x:c>
      <x:c r="C85" s="13" t="str">
        <x:v>Network</x:v>
      </x:c>
      <x:c r="D85" s="13" t="str">
        <x:v>Medium</x:v>
      </x:c>
      <x:c r="E85" s="13" t="str">
        <x:v>Closed</x:v>
      </x:c>
      <x:c r="F85" s="13" t="str">
        <x:v>Omar Hassan</x:v>
      </x:c>
      <x:c r="G85" s="14" t="n">
        <x:v>46288.14791666667</x:v>
      </x:c>
      <x:c r="H85" s="15" t="n">
        <x:v>13.55</x:v>
      </x:c>
      <x:c r="I85" s="15" t="n">
        <x:v>12</x:v>
      </x:c>
      <x:c r="J85" s="13" t="str">
        <x:v>No</x:v>
      </x:c>
    </x:row>
    <x:row r="86">
      <x:c r="A86" s="13" t="str">
        <x:v>T0085</x:v>
      </x:c>
      <x:c r="B86" s="14" t="n">
        <x:v>46280.583333333336</x:v>
      </x:c>
      <x:c r="C86" s="13" t="str">
        <x:v>Software</x:v>
      </x:c>
      <x:c r="D86" s="13" t="str">
        <x:v>Medium</x:v>
      </x:c>
      <x:c r="E86" s="13" t="str">
        <x:v>Open</x:v>
      </x:c>
      <x:c r="F86" s="13" t="str">
        <x:v>Omar Hassan</x:v>
      </x:c>
      <x:c r="G86" s="14"/>
      <x:c r="H86" s="15"/>
      <x:c r="I86" s="15" t="n">
        <x:v>12</x:v>
      </x:c>
      <x:c r="J86" s="13" t="str">
        <x:v>Pending</x:v>
      </x:c>
    </x:row>
    <x:row r="87">
      <x:c r="A87" s="13" t="str">
        <x:v>T0086</x:v>
      </x:c>
      <x:c r="B87" s="14" t="n">
        <x:v>46290.34375</x:v>
      </x:c>
      <x:c r="C87" s="13" t="str">
        <x:v>Software</x:v>
      </x:c>
      <x:c r="D87" s="13" t="str">
        <x:v>Low</x:v>
      </x:c>
      <x:c r="E87" s="13" t="str">
        <x:v>Closed</x:v>
      </x:c>
      <x:c r="F87" s="13" t="str">
        <x:v>Omar Hassan</x:v>
      </x:c>
      <x:c r="G87" s="14" t="n">
        <x:v>46290.59541666666</x:v>
      </x:c>
      <x:c r="H87" s="15" t="n">
        <x:v>6.04</x:v>
      </x:c>
      <x:c r="I87" s="15" t="n">
        <x:v>24</x:v>
      </x:c>
      <x:c r="J87" s="13" t="str">
        <x:v>Yes</x:v>
      </x:c>
    </x:row>
    <x:row r="88">
      <x:c r="A88" s="13" t="str">
        <x:v>T0087</x:v>
      </x:c>
      <x:c r="B88" s="14" t="n">
        <x:v>46271.5</x:v>
      </x:c>
      <x:c r="C88" s="13" t="str">
        <x:v>Hardware</x:v>
      </x:c>
      <x:c r="D88" s="13" t="str">
        <x:v>Low</x:v>
      </x:c>
      <x:c r="E88" s="13" t="str">
        <x:v>Pending</x:v>
      </x:c>
      <x:c r="F88" s="13" t="str">
        <x:v>Alex Morgan</x:v>
      </x:c>
      <x:c r="G88" s="14"/>
      <x:c r="H88" s="15"/>
      <x:c r="I88" s="15" t="n">
        <x:v>24</x:v>
      </x:c>
      <x:c r="J88" s="13" t="str">
        <x:v>Pending</x:v>
      </x:c>
    </x:row>
    <x:row r="89">
      <x:c r="A89" s="13" t="str">
        <x:v>T0088</x:v>
      </x:c>
      <x:c r="B89" s="14" t="n">
        <x:v>46280.385416666664</x:v>
      </x:c>
      <x:c r="C89" s="13" t="str">
        <x:v>Network</x:v>
      </x:c>
      <x:c r="D89" s="13" t="str">
        <x:v>High</x:v>
      </x:c>
      <x:c r="E89" s="13" t="str">
        <x:v>Closed</x:v>
      </x:c>
      <x:c r="F89" s="13" t="str">
        <x:v>Nadia Karim</x:v>
      </x:c>
      <x:c r="G89" s="14" t="n">
        <x:v>46280.58458333334</x:v>
      </x:c>
      <x:c r="H89" s="15" t="n">
        <x:v>4.78</x:v>
      </x:c>
      <x:c r="I89" s="15" t="n">
        <x:v>6</x:v>
      </x:c>
      <x:c r="J89" s="13" t="str">
        <x:v>Yes</x:v>
      </x:c>
    </x:row>
    <x:row r="90">
      <x:c r="A90" s="13" t="str">
        <x:v>T0089</x:v>
      </x:c>
      <x:c r="B90" s="14" t="n">
        <x:v>46270.59375</x:v>
      </x:c>
      <x:c r="C90" s="13" t="str">
        <x:v>Email</x:v>
      </x:c>
      <x:c r="D90" s="13" t="str">
        <x:v>Medium</x:v>
      </x:c>
      <x:c r="E90" s="13" t="str">
        <x:v>In Progress</x:v>
      </x:c>
      <x:c r="F90" s="13" t="str">
        <x:v>Alex Morgan</x:v>
      </x:c>
      <x:c r="G90" s="14"/>
      <x:c r="H90" s="15"/>
      <x:c r="I90" s="15" t="n">
        <x:v>12</x:v>
      </x:c>
      <x:c r="J90" s="13" t="str">
        <x:v>Pending</x:v>
      </x:c>
    </x:row>
    <x:row r="91">
      <x:c r="A91" s="13" t="str">
        <x:v>T0090</x:v>
      </x:c>
      <x:c r="B91" s="14" t="n">
        <x:v>46274.604166666664</x:v>
      </x:c>
      <x:c r="C91" s="13" t="str">
        <x:v>Email</x:v>
      </x:c>
      <x:c r="D91" s="13" t="str">
        <x:v>Medium</x:v>
      </x:c>
      <x:c r="E91" s="13" t="str">
        <x:v>In Progress</x:v>
      </x:c>
      <x:c r="F91" s="13" t="str">
        <x:v>Nadia Karim</x:v>
      </x:c>
      <x:c r="G91" s="14"/>
      <x:c r="H91" s="15"/>
      <x:c r="I91" s="15" t="n">
        <x:v>12</x:v>
      </x:c>
      <x:c r="J91" s="13" t="str">
        <x:v>Pending</x:v>
      </x:c>
    </x:row>
    <x:row r="92">
      <x:c r="A92" s="13" t="str">
        <x:v>T0091</x:v>
      </x:c>
      <x:c r="B92" s="14" t="n">
        <x:v>46289.53125</x:v>
      </x:c>
      <x:c r="C92" s="13" t="str">
        <x:v>Access</x:v>
      </x:c>
      <x:c r="D92" s="13" t="str">
        <x:v>Medium</x:v>
      </x:c>
      <x:c r="E92" s="13" t="str">
        <x:v>Closed</x:v>
      </x:c>
      <x:c r="F92" s="13" t="str">
        <x:v>Nadia Karim</x:v>
      </x:c>
      <x:c r="G92" s="14" t="n">
        <x:v>46289.931666666664</x:v>
      </x:c>
      <x:c r="H92" s="15" t="n">
        <x:v>9.61</x:v>
      </x:c>
      <x:c r="I92" s="15" t="n">
        <x:v>12</x:v>
      </x:c>
      <x:c r="J92" s="13" t="str">
        <x:v>Yes</x:v>
      </x:c>
    </x:row>
    <x:row r="93">
      <x:c r="A93" s="13" t="str">
        <x:v>T0092</x:v>
      </x:c>
      <x:c r="B93" s="14" t="n">
        <x:v>46272.489583333336</x:v>
      </x:c>
      <x:c r="C93" s="13" t="str">
        <x:v>Software</x:v>
      </x:c>
      <x:c r="D93" s="13" t="str">
        <x:v>High</x:v>
      </x:c>
      <x:c r="E93" s="13" t="str">
        <x:v>Closed</x:v>
      </x:c>
      <x:c r="F93" s="13" t="str">
        <x:v>Omar Hassan</x:v>
      </x:c>
      <x:c r="G93" s="14" t="n">
        <x:v>46272.66</x:v>
      </x:c>
      <x:c r="H93" s="15" t="n">
        <x:v>4.09</x:v>
      </x:c>
      <x:c r="I93" s="15" t="n">
        <x:v>6</x:v>
      </x:c>
      <x:c r="J93" s="13" t="str">
        <x:v>Yes</x:v>
      </x:c>
    </x:row>
    <x:row r="94">
      <x:c r="A94" s="13" t="str">
        <x:v>T0093</x:v>
      </x:c>
      <x:c r="B94" s="14" t="n">
        <x:v>46292.760416666664</x:v>
      </x:c>
      <x:c r="C94" s="13" t="str">
        <x:v>Network</x:v>
      </x:c>
      <x:c r="D94" s="13" t="str">
        <x:v>Low</x:v>
      </x:c>
      <x:c r="E94" s="13" t="str">
        <x:v>Closed</x:v>
      </x:c>
      <x:c r="F94" s="13" t="str">
        <x:v>Nadia Karim</x:v>
      </x:c>
      <x:c r="G94" s="14" t="n">
        <x:v>46293.79125</x:v>
      </x:c>
      <x:c r="H94" s="15" t="n">
        <x:v>24.74</x:v>
      </x:c>
      <x:c r="I94" s="15" t="n">
        <x:v>24</x:v>
      </x:c>
      <x:c r="J94" s="13" t="str">
        <x:v>No</x:v>
      </x:c>
    </x:row>
    <x:row r="95">
      <x:c r="A95" s="13" t="str">
        <x:v>T0094</x:v>
      </x:c>
      <x:c r="B95" s="14" t="n">
        <x:v>46280.34375</x:v>
      </x:c>
      <x:c r="C95" s="13" t="str">
        <x:v>Network</x:v>
      </x:c>
      <x:c r="D95" s="13" t="str">
        <x:v>Medium</x:v>
      </x:c>
      <x:c r="E95" s="13" t="str">
        <x:v>Closed</x:v>
      </x:c>
      <x:c r="F95" s="13" t="str">
        <x:v>Omar Hassan</x:v>
      </x:c>
      <x:c r="G95" s="14" t="n">
        <x:v>46280.581666666665</x:v>
      </x:c>
      <x:c r="H95" s="15" t="n">
        <x:v>5.71</x:v>
      </x:c>
      <x:c r="I95" s="15" t="n">
        <x:v>12</x:v>
      </x:c>
      <x:c r="J95" s="13" t="str">
        <x:v>Yes</x:v>
      </x:c>
    </x:row>
    <x:row r="96">
      <x:c r="A96" s="13" t="str">
        <x:v>T0095</x:v>
      </x:c>
      <x:c r="B96" s="14" t="n">
        <x:v>46268.572916666664</x:v>
      </x:c>
      <x:c r="C96" s="13" t="str">
        <x:v>Email</x:v>
      </x:c>
      <x:c r="D96" s="13" t="str">
        <x:v>Medium</x:v>
      </x:c>
      <x:c r="E96" s="13" t="str">
        <x:v>In Progress</x:v>
      </x:c>
      <x:c r="F96" s="13" t="str">
        <x:v>Omar Hassan</x:v>
      </x:c>
      <x:c r="G96" s="14"/>
      <x:c r="H96" s="15"/>
      <x:c r="I96" s="15" t="n">
        <x:v>12</x:v>
      </x:c>
      <x:c r="J96" s="13" t="str">
        <x:v>Pending</x:v>
      </x:c>
    </x:row>
    <x:row r="97">
      <x:c r="A97" s="13" t="str">
        <x:v>T0096</x:v>
      </x:c>
      <x:c r="B97" s="14" t="n">
        <x:v>46293.666666666664</x:v>
      </x:c>
      <x:c r="C97" s="13" t="str">
        <x:v>Hardware</x:v>
      </x:c>
      <x:c r="D97" s="13" t="str">
        <x:v>Low</x:v>
      </x:c>
      <x:c r="E97" s="13" t="str">
        <x:v>Open</x:v>
      </x:c>
      <x:c r="F97" s="13" t="str">
        <x:v>Nadia Karim</x:v>
      </x:c>
      <x:c r="G97" s="14"/>
      <x:c r="H97" s="15"/>
      <x:c r="I97" s="15" t="n">
        <x:v>24</x:v>
      </x:c>
      <x:c r="J97" s="13" t="str">
        <x:v>Pending</x:v>
      </x:c>
    </x:row>
    <x:row r="98">
      <x:c r="A98" s="13" t="str">
        <x:v>T0097</x:v>
      </x:c>
      <x:c r="B98" s="14" t="n">
        <x:v>46273.40625</x:v>
      </x:c>
      <x:c r="C98" s="13" t="str">
        <x:v>Email</x:v>
      </x:c>
      <x:c r="D98" s="13" t="str">
        <x:v>High</x:v>
      </x:c>
      <x:c r="E98" s="13" t="str">
        <x:v>Open</x:v>
      </x:c>
      <x:c r="F98" s="13" t="str">
        <x:v>Alex Morgan</x:v>
      </x:c>
      <x:c r="G98" s="14"/>
      <x:c r="H98" s="15"/>
      <x:c r="I98" s="15" t="n">
        <x:v>6</x:v>
      </x:c>
      <x:c r="J98" s="13" t="str">
        <x:v>Pending</x:v>
      </x:c>
    </x:row>
    <x:row r="99">
      <x:c r="A99" s="13" t="str">
        <x:v>T0098</x:v>
      </x:c>
      <x:c r="B99" s="14" t="n">
        <x:v>46280.4375</x:v>
      </x:c>
      <x:c r="C99" s="13" t="str">
        <x:v>Email</x:v>
      </x:c>
      <x:c r="D99" s="13" t="str">
        <x:v>Low</x:v>
      </x:c>
      <x:c r="E99" s="13" t="str">
        <x:v>In Progress</x:v>
      </x:c>
      <x:c r="F99" s="13" t="str">
        <x:v>Nadia Karim</x:v>
      </x:c>
      <x:c r="G99" s="14"/>
      <x:c r="H99" s="15"/>
      <x:c r="I99" s="15" t="n">
        <x:v>24</x:v>
      </x:c>
      <x:c r="J99" s="13" t="str">
        <x:v>Pending</x:v>
      </x:c>
    </x:row>
    <x:row r="100">
      <x:c r="A100" s="13" t="str">
        <x:v>T0099</x:v>
      </x:c>
      <x:c r="B100" s="14" t="n">
        <x:v>46277.572916666664</x:v>
      </x:c>
      <x:c r="C100" s="13" t="str">
        <x:v>Software</x:v>
      </x:c>
      <x:c r="D100" s="13" t="str">
        <x:v>Medium</x:v>
      </x:c>
      <x:c r="E100" s="13" t="str">
        <x:v>Closed</x:v>
      </x:c>
      <x:c r="F100" s="13" t="str">
        <x:v>Sam Lee</x:v>
      </x:c>
      <x:c r="G100" s="14" t="n">
        <x:v>46277.7025</x:v>
      </x:c>
      <x:c r="H100" s="15" t="n">
        <x:v>3.11</x:v>
      </x:c>
      <x:c r="I100" s="15" t="n">
        <x:v>12</x:v>
      </x:c>
      <x:c r="J100" s="13" t="str">
        <x:v>Yes</x:v>
      </x:c>
    </x:row>
    <x:row r="101">
      <x:c r="A101" s="13" t="str">
        <x:v>T0100</x:v>
      </x:c>
      <x:c r="B101" s="14" t="n">
        <x:v>46273.635416666664</x:v>
      </x:c>
      <x:c r="C101" s="13" t="str">
        <x:v>Software</x:v>
      </x:c>
      <x:c r="D101" s="13" t="str">
        <x:v>Medium</x:v>
      </x:c>
      <x:c r="E101" s="13" t="str">
        <x:v>Closed</x:v>
      </x:c>
      <x:c r="F101" s="13" t="str">
        <x:v>Alex Morgan</x:v>
      </x:c>
      <x:c r="G101" s="14" t="n">
        <x:v>46273.99</x:v>
      </x:c>
      <x:c r="H101" s="15" t="n">
        <x:v>8.51</x:v>
      </x:c>
      <x:c r="I101" s="15" t="n">
        <x:v>12</x:v>
      </x:c>
      <x:c r="J101" s="13" t="str">
        <x:v>Yes</x:v>
      </x:c>
    </x:row>
    <x:row r="102">
      <x:c r="A102" s="13" t="str">
        <x:v>T0101</x:v>
      </x:c>
      <x:c r="B102" s="14" t="n">
        <x:v>46268.645833333336</x:v>
      </x:c>
      <x:c r="C102" s="13" t="str">
        <x:v>Email</x:v>
      </x:c>
      <x:c r="D102" s="13" t="str">
        <x:v>Medium</x:v>
      </x:c>
      <x:c r="E102" s="13" t="str">
        <x:v>Pending</x:v>
      </x:c>
      <x:c r="F102" s="13" t="str">
        <x:v>Nadia Karim</x:v>
      </x:c>
      <x:c r="G102" s="14"/>
      <x:c r="H102" s="15"/>
      <x:c r="I102" s="15" t="n">
        <x:v>12</x:v>
      </x:c>
      <x:c r="J102" s="13" t="str">
        <x:v>Pending</x:v>
      </x:c>
    </x:row>
    <x:row r="103">
      <x:c r="A103" s="13" t="str">
        <x:v>T0102</x:v>
      </x:c>
      <x:c r="B103" s="14" t="n">
        <x:v>46280.510416666664</x:v>
      </x:c>
      <x:c r="C103" s="13" t="str">
        <x:v>Email</x:v>
      </x:c>
      <x:c r="D103" s="13" t="str">
        <x:v>High</x:v>
      </x:c>
      <x:c r="E103" s="13" t="str">
        <x:v>Closed</x:v>
      </x:c>
      <x:c r="F103" s="13" t="str">
        <x:v>Omar Hassan</x:v>
      </x:c>
      <x:c r="G103" s="14" t="n">
        <x:v>46280.88291666667</x:v>
      </x:c>
      <x:c r="H103" s="15" t="n">
        <x:v>8.94</x:v>
      </x:c>
      <x:c r="I103" s="15" t="n">
        <x:v>6</x:v>
      </x:c>
      <x:c r="J103" s="13" t="str">
        <x:v>No</x:v>
      </x:c>
    </x:row>
    <x:row r="104">
      <x:c r="A104" s="13" t="str">
        <x:v>T0103</x:v>
      </x:c>
      <x:c r="B104" s="14" t="n">
        <x:v>46292.78125</x:v>
      </x:c>
      <x:c r="C104" s="13" t="str">
        <x:v>Software</x:v>
      </x:c>
      <x:c r="D104" s="13" t="str">
        <x:v>Medium</x:v>
      </x:c>
      <x:c r="E104" s="13" t="str">
        <x:v>Open</x:v>
      </x:c>
      <x:c r="F104" s="13" t="str">
        <x:v>Alex Morgan</x:v>
      </x:c>
      <x:c r="G104" s="14"/>
      <x:c r="H104" s="15"/>
      <x:c r="I104" s="15" t="n">
        <x:v>12</x:v>
      </x:c>
      <x:c r="J104" s="13" t="str">
        <x:v>Pending</x:v>
      </x:c>
    </x:row>
    <x:row r="105">
      <x:c r="A105" s="13" t="str">
        <x:v>T0104</x:v>
      </x:c>
      <x:c r="B105" s="14" t="n">
        <x:v>46295.739583333336</x:v>
      </x:c>
      <x:c r="C105" s="13" t="str">
        <x:v>Access</x:v>
      </x:c>
      <x:c r="D105" s="13" t="str">
        <x:v>High</x:v>
      </x:c>
      <x:c r="E105" s="13" t="str">
        <x:v>In Progress</x:v>
      </x:c>
      <x:c r="F105" s="13" t="str">
        <x:v>Sam Lee</x:v>
      </x:c>
      <x:c r="G105" s="14"/>
      <x:c r="H105" s="15"/>
      <x:c r="I105" s="15" t="n">
        <x:v>6</x:v>
      </x:c>
      <x:c r="J105" s="13" t="str">
        <x:v>Pending</x:v>
      </x:c>
    </x:row>
    <x:row r="106">
      <x:c r="A106" s="13" t="str">
        <x:v>T0105</x:v>
      </x:c>
      <x:c r="B106" s="14" t="n">
        <x:v>46285.552083333336</x:v>
      </x:c>
      <x:c r="C106" s="13" t="str">
        <x:v>Hardware</x:v>
      </x:c>
      <x:c r="D106" s="13" t="str">
        <x:v>Medium</x:v>
      </x:c>
      <x:c r="E106" s="13" t="str">
        <x:v>Open</x:v>
      </x:c>
      <x:c r="F106" s="13" t="str">
        <x:v>Sam Lee</x:v>
      </x:c>
      <x:c r="G106" s="14"/>
      <x:c r="H106" s="15"/>
      <x:c r="I106" s="15" t="n">
        <x:v>12</x:v>
      </x:c>
      <x:c r="J106" s="13" t="str">
        <x:v>Pending</x:v>
      </x:c>
    </x:row>
    <x:row r="107">
      <x:c r="A107" s="13" t="str">
        <x:v>T0106</x:v>
      </x:c>
      <x:c r="B107" s="14" t="n">
        <x:v>46286.375</x:v>
      </x:c>
      <x:c r="C107" s="13" t="str">
        <x:v>Network</x:v>
      </x:c>
      <x:c r="D107" s="13" t="str">
        <x:v>Medium</x:v>
      </x:c>
      <x:c r="E107" s="13" t="str">
        <x:v>Closed</x:v>
      </x:c>
      <x:c r="F107" s="13" t="str">
        <x:v>Sam Lee</x:v>
      </x:c>
      <x:c r="G107" s="14" t="n">
        <x:v>46286.63041666667</x:v>
      </x:c>
      <x:c r="H107" s="15" t="n">
        <x:v>6.13</x:v>
      </x:c>
      <x:c r="I107" s="15" t="n">
        <x:v>12</x:v>
      </x:c>
      <x:c r="J107" s="13" t="str">
        <x:v>Yes</x:v>
      </x:c>
    </x:row>
    <x:row r="108">
      <x:c r="A108" s="13" t="str">
        <x:v>T0107</x:v>
      </x:c>
      <x:c r="B108" s="14" t="n">
        <x:v>46270.6875</x:v>
      </x:c>
      <x:c r="C108" s="13" t="str">
        <x:v>Hardware</x:v>
      </x:c>
      <x:c r="D108" s="13" t="str">
        <x:v>Critical</x:v>
      </x:c>
      <x:c r="E108" s="13" t="str">
        <x:v>In Progress</x:v>
      </x:c>
      <x:c r="F108" s="13" t="str">
        <x:v>Nadia Karim</x:v>
      </x:c>
      <x:c r="G108" s="14"/>
      <x:c r="H108" s="15"/>
      <x:c r="I108" s="15" t="n">
        <x:v>2</x:v>
      </x:c>
      <x:c r="J108" s="13" t="str">
        <x:v>Pending</x:v>
      </x:c>
    </x:row>
    <x:row r="109">
      <x:c r="A109" s="13" t="str">
        <x:v>T0108</x:v>
      </x:c>
      <x:c r="B109" s="14" t="n">
        <x:v>46295.645833333336</x:v>
      </x:c>
      <x:c r="C109" s="13" t="str">
        <x:v>Access</x:v>
      </x:c>
      <x:c r="D109" s="13" t="str">
        <x:v>Medium</x:v>
      </x:c>
      <x:c r="E109" s="13" t="str">
        <x:v>Closed</x:v>
      </x:c>
      <x:c r="F109" s="13" t="str">
        <x:v>Alex Morgan</x:v>
      </x:c>
      <x:c r="G109" s="14" t="n">
        <x:v>46296.292916666665</x:v>
      </x:c>
      <x:c r="H109" s="15" t="n">
        <x:v>15.53</x:v>
      </x:c>
      <x:c r="I109" s="15" t="n">
        <x:v>12</x:v>
      </x:c>
      <x:c r="J109" s="13" t="str">
        <x:v>No</x:v>
      </x:c>
    </x:row>
    <x:row r="110">
      <x:c r="A110" s="13" t="str">
        <x:v>T0109</x:v>
      </x:c>
      <x:c r="B110" s="14" t="n">
        <x:v>46278.6875</x:v>
      </x:c>
      <x:c r="C110" s="13" t="str">
        <x:v>Software</x:v>
      </x:c>
      <x:c r="D110" s="13" t="str">
        <x:v>Medium</x:v>
      </x:c>
      <x:c r="E110" s="13" t="str">
        <x:v>Closed</x:v>
      </x:c>
      <x:c r="F110" s="13" t="str">
        <x:v>Alex Morgan</x:v>
      </x:c>
      <x:c r="G110" s="14" t="n">
        <x:v>46279.16333333333</x:v>
      </x:c>
      <x:c r="H110" s="15" t="n">
        <x:v>11.42</x:v>
      </x:c>
      <x:c r="I110" s="15" t="n">
        <x:v>12</x:v>
      </x:c>
      <x:c r="J110" s="13" t="str">
        <x:v>Yes</x:v>
      </x:c>
    </x:row>
    <x:row r="111">
      <x:c r="A111" s="13" t="str">
        <x:v>T0110</x:v>
      </x:c>
      <x:c r="B111" s="14" t="n">
        <x:v>46292.770833333336</x:v>
      </x:c>
      <x:c r="C111" s="13" t="str">
        <x:v>Software</x:v>
      </x:c>
      <x:c r="D111" s="13" t="str">
        <x:v>Low</x:v>
      </x:c>
      <x:c r="E111" s="13" t="str">
        <x:v>Closed</x:v>
      </x:c>
      <x:c r="F111" s="13" t="str">
        <x:v>Nadia Karim</x:v>
      </x:c>
      <x:c r="G111" s="14" t="n">
        <x:v>46293.84916666667</x:v>
      </x:c>
      <x:c r="H111" s="15" t="n">
        <x:v>25.88</x:v>
      </x:c>
      <x:c r="I111" s="15" t="n">
        <x:v>24</x:v>
      </x:c>
      <x:c r="J111" s="13" t="str">
        <x:v>No</x:v>
      </x:c>
    </x:row>
    <x:row r="112">
      <x:c r="A112" s="13" t="str">
        <x:v>T0111</x:v>
      </x:c>
      <x:c r="B112" s="14" t="n">
        <x:v>46295.53125</x:v>
      </x:c>
      <x:c r="C112" s="13" t="str">
        <x:v>Software</x:v>
      </x:c>
      <x:c r="D112" s="13" t="str">
        <x:v>Low</x:v>
      </x:c>
      <x:c r="E112" s="13" t="str">
        <x:v>Closed</x:v>
      </x:c>
      <x:c r="F112" s="13" t="str">
        <x:v>Omar Hassan</x:v>
      </x:c>
      <x:c r="G112" s="14" t="n">
        <x:v>46295.777083333334</x:v>
      </x:c>
      <x:c r="H112" s="15" t="n">
        <x:v>5.9</x:v>
      </x:c>
      <x:c r="I112" s="15" t="n">
        <x:v>24</x:v>
      </x:c>
      <x:c r="J112" s="13" t="str">
        <x:v>Yes</x:v>
      </x:c>
    </x:row>
    <x:row r="113">
      <x:c r="A113" s="13" t="str">
        <x:v>T0112</x:v>
      </x:c>
      <x:c r="B113" s="14" t="n">
        <x:v>46277.78125</x:v>
      </x:c>
      <x:c r="C113" s="13" t="str">
        <x:v>Hardware</x:v>
      </x:c>
      <x:c r="D113" s="13" t="str">
        <x:v>High</x:v>
      </x:c>
      <x:c r="E113" s="13" t="str">
        <x:v>In Progress</x:v>
      </x:c>
      <x:c r="F113" s="13" t="str">
        <x:v>Alex Morgan</x:v>
      </x:c>
      <x:c r="G113" s="14"/>
      <x:c r="H113" s="15"/>
      <x:c r="I113" s="15" t="n">
        <x:v>6</x:v>
      </x:c>
      <x:c r="J113" s="13" t="str">
        <x:v>Pending</x:v>
      </x:c>
    </x:row>
    <x:row r="114">
      <x:c r="A114" s="13" t="str">
        <x:v>T0113</x:v>
      </x:c>
      <x:c r="B114" s="14" t="n">
        <x:v>46292.65625</x:v>
      </x:c>
      <x:c r="C114" s="13" t="str">
        <x:v>Email</x:v>
      </x:c>
      <x:c r="D114" s="13" t="str">
        <x:v>Medium</x:v>
      </x:c>
      <x:c r="E114" s="13" t="str">
        <x:v>Open</x:v>
      </x:c>
      <x:c r="F114" s="13" t="str">
        <x:v>Sam Lee</x:v>
      </x:c>
      <x:c r="G114" s="14"/>
      <x:c r="H114" s="15"/>
      <x:c r="I114" s="15" t="n">
        <x:v>12</x:v>
      </x:c>
      <x:c r="J114" s="13" t="str">
        <x:v>Pending</x:v>
      </x:c>
    </x:row>
    <x:row r="115">
      <x:c r="A115" s="13" t="str">
        <x:v>T0114</x:v>
      </x:c>
      <x:c r="B115" s="14" t="n">
        <x:v>46280.635416666664</x:v>
      </x:c>
      <x:c r="C115" s="13" t="str">
        <x:v>Access</x:v>
      </x:c>
      <x:c r="D115" s="13" t="str">
        <x:v>Low</x:v>
      </x:c>
      <x:c r="E115" s="13" t="str">
        <x:v>Open</x:v>
      </x:c>
      <x:c r="F115" s="13" t="str">
        <x:v>Nadia Karim</x:v>
      </x:c>
      <x:c r="G115" s="14"/>
      <x:c r="H115" s="15"/>
      <x:c r="I115" s="15" t="n">
        <x:v>24</x:v>
      </x:c>
      <x:c r="J115" s="13" t="str">
        <x:v>Pending</x:v>
      </x:c>
    </x:row>
    <x:row r="116">
      <x:c r="A116" s="13" t="str">
        <x:v>T0115</x:v>
      </x:c>
      <x:c r="B116" s="14" t="n">
        <x:v>46267.604166666664</x:v>
      </x:c>
      <x:c r="C116" s="13" t="str">
        <x:v>Software</x:v>
      </x:c>
      <x:c r="D116" s="13" t="str">
        <x:v>Low</x:v>
      </x:c>
      <x:c r="E116" s="13" t="str">
        <x:v>In Progress</x:v>
      </x:c>
      <x:c r="F116" s="13" t="str">
        <x:v>Omar Hassan</x:v>
      </x:c>
      <x:c r="G116" s="14"/>
      <x:c r="H116" s="15"/>
      <x:c r="I116" s="15" t="n">
        <x:v>24</x:v>
      </x:c>
      <x:c r="J116" s="13" t="str">
        <x:v>Pending</x:v>
      </x:c>
    </x:row>
    <x:row r="117">
      <x:c r="A117" s="13" t="str">
        <x:v>T0116</x:v>
      </x:c>
      <x:c r="B117" s="14" t="n">
        <x:v>46268.760416666664</x:v>
      </x:c>
      <x:c r="C117" s="13" t="str">
        <x:v>Hardware</x:v>
      </x:c>
      <x:c r="D117" s="13" t="str">
        <x:v>Medium</x:v>
      </x:c>
      <x:c r="E117" s="13" t="str">
        <x:v>Closed</x:v>
      </x:c>
      <x:c r="F117" s="13" t="str">
        <x:v>Nadia Karim</x:v>
      </x:c>
      <x:c r="G117" s="14" t="n">
        <x:v>46268.917083333334</x:v>
      </x:c>
      <x:c r="H117" s="15" t="n">
        <x:v>3.76</x:v>
      </x:c>
      <x:c r="I117" s="15" t="n">
        <x:v>12</x:v>
      </x:c>
      <x:c r="J117" s="13" t="str">
        <x:v>Yes</x:v>
      </x:c>
    </x:row>
    <x:row r="118">
      <x:c r="A118" s="13" t="str">
        <x:v>T0117</x:v>
      </x:c>
      <x:c r="B118" s="14" t="n">
        <x:v>46290.677083333336</x:v>
      </x:c>
      <x:c r="C118" s="13" t="str">
        <x:v>Hardware</x:v>
      </x:c>
      <x:c r="D118" s="13" t="str">
        <x:v>High</x:v>
      </x:c>
      <x:c r="E118" s="13" t="str">
        <x:v>Closed</x:v>
      </x:c>
      <x:c r="F118" s="13" t="str">
        <x:v>Sam Lee</x:v>
      </x:c>
      <x:c r="G118" s="14" t="n">
        <x:v>46290.81125</x:v>
      </x:c>
      <x:c r="H118" s="15" t="n">
        <x:v>3.22</x:v>
      </x:c>
      <x:c r="I118" s="15" t="n">
        <x:v>6</x:v>
      </x:c>
      <x:c r="J118" s="13" t="str">
        <x:v>Yes</x:v>
      </x:c>
    </x:row>
    <x:row r="119">
      <x:c r="A119" s="13" t="str">
        <x:v>T0118</x:v>
      </x:c>
      <x:c r="B119" s="14" t="n">
        <x:v>46270.6875</x:v>
      </x:c>
      <x:c r="C119" s="13" t="str">
        <x:v>Access</x:v>
      </x:c>
      <x:c r="D119" s="13" t="str">
        <x:v>Low</x:v>
      </x:c>
      <x:c r="E119" s="13" t="str">
        <x:v>In Progress</x:v>
      </x:c>
      <x:c r="F119" s="13" t="str">
        <x:v>Sam Lee</x:v>
      </x:c>
      <x:c r="G119" s="14"/>
      <x:c r="H119" s="15"/>
      <x:c r="I119" s="15" t="n">
        <x:v>24</x:v>
      </x:c>
      <x:c r="J119" s="13" t="str">
        <x:v>Pending</x:v>
      </x:c>
    </x:row>
    <x:row r="120">
      <x:c r="A120" s="13" t="str">
        <x:v>T0119</x:v>
      </x:c>
      <x:c r="B120" s="14" t="n">
        <x:v>46266.552083333336</x:v>
      </x:c>
      <x:c r="C120" s="13" t="str">
        <x:v>Hardware</x:v>
      </x:c>
      <x:c r="D120" s="13" t="str">
        <x:v>Low</x:v>
      </x:c>
      <x:c r="E120" s="13" t="str">
        <x:v>Closed</x:v>
      </x:c>
      <x:c r="F120" s="13" t="str">
        <x:v>Sam Lee</x:v>
      </x:c>
      <x:c r="G120" s="14" t="n">
        <x:v>46267.449583333335</x:v>
      </x:c>
      <x:c r="H120" s="15" t="n">
        <x:v>21.54</x:v>
      </x:c>
      <x:c r="I120" s="15" t="n">
        <x:v>24</x:v>
      </x:c>
      <x:c r="J120" s="13" t="str">
        <x:v>Yes</x:v>
      </x:c>
    </x:row>
    <x:row r="121">
      <x:c r="A121" s="13" t="str">
        <x:v>T0120</x:v>
      </x:c>
      <x:c r="B121" s="14" t="n">
        <x:v>46290.541666666664</x:v>
      </x:c>
      <x:c r="C121" s="13" t="str">
        <x:v>Network</x:v>
      </x:c>
      <x:c r="D121" s="13" t="str">
        <x:v>Low</x:v>
      </x:c>
      <x:c r="E121" s="13" t="str">
        <x:v>Closed</x:v>
      </x:c>
      <x:c r="F121" s="13" t="str">
        <x:v>Nadia Karim</x:v>
      </x:c>
      <x:c r="G121" s="14" t="n">
        <x:v>46291.14375</x:v>
      </x:c>
      <x:c r="H121" s="15" t="n">
        <x:v>14.45</x:v>
      </x:c>
      <x:c r="I121" s="15" t="n">
        <x:v>24</x:v>
      </x:c>
      <x:c r="J121" s="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1945d1b9b5a42ce"/>
  </x:tableParts>
</x:worksheet>
</file>